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daa0c28a182401d" /></Relationships>
</file>

<file path=xl/workbook.xml><?xml version="1.0" encoding="utf-8"?>
<x:workbook xmlns:x="http://schemas.openxmlformats.org/spreadsheetml/2006/main">
  <x:sheets>
    <x:sheet xmlns:r="http://schemas.openxmlformats.org/officeDocument/2006/relationships" name="Evidence Index" sheetId="1" r:id="Rf850b63ee65a4922"/>
    <x:sheet xmlns:r="http://schemas.openxmlformats.org/officeDocument/2006/relationships" name="Readiness Summary" sheetId="2" r:id="R88bb3a2014bb49eb"/>
    <x:sheet xmlns:r="http://schemas.openxmlformats.org/officeDocument/2006/relationships" name="SME Preparation" sheetId="3" r:id="R5bd904d232b94797"/>
    <x:sheet xmlns:r="http://schemas.openxmlformats.org/officeDocument/2006/relationships" name="Instructions" sheetId="4" r:id="Rbc284c73eb4f4f22"/>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dd-mmm-yyyy"/>
    <x:numFmt numFmtId="201" formatCode="0%"/>
    <x:numFmt numFmtId="202" formatCode="@"/>
  </x:numFmts>
  <x:fonts count="14">
    <x:font>
      <x:sz val="11"/>
      <x:name val="Carlito"/>
    </x:font>
    <x:font>
      <x:b/>
      <x:sz val="14"/>
      <x:color rgb="FFFFFFFF"/>
      <x:name val="Carlito"/>
    </x:font>
    <x:font>
      <x:b/>
      <x:sz val="10"/>
      <x:color rgb="FF169BD5"/>
      <x:name val="Carlito"/>
    </x:font>
    <x:font>
      <x:b/>
      <x:sz val="11"/>
      <x:color rgb="FF0B2E4F"/>
      <x:name val="Carlito"/>
    </x:font>
    <x:font>
      <x:sz val="9"/>
      <x:color rgb="FF667785"/>
      <x:name val="Carlito"/>
    </x:font>
    <x:font>
      <x:b/>
      <x:sz val="8"/>
      <x:color rgb="FFFFFFFF"/>
      <x:name val="Carlito"/>
    </x:font>
    <x:font>
      <x:sz val="8.5"/>
      <x:color rgb="FF243746"/>
      <x:name val="Carlito"/>
    </x:font>
    <x:font>
      <x:sz val="9"/>
      <x:color rgb="FFFFFFFF"/>
      <x:name val="Carlito"/>
    </x:font>
    <x:font>
      <x:b/>
      <x:sz val="40"/>
      <x:color rgb="FFD8D8D8"/>
      <x:name val="Carlito"/>
    </x:font>
    <x:font>
      <x:b/>
      <x:sz val="40"/>
      <x:color rgb="FFCBEAF8"/>
      <x:name val="Carlito"/>
    </x:font>
    <x:font>
      <x:b/>
      <x:sz val="11"/>
      <x:color rgb="FFFFFFFF"/>
      <x:name val="Carlito"/>
    </x:font>
    <x:font>
      <x:b/>
      <x:sz val="28"/>
      <x:color rgb="FF169BD5"/>
      <x:name val="Carlito"/>
    </x:font>
    <x:font>
      <x:sz val="9"/>
      <x:name val="Carlito"/>
    </x:font>
    <x:font>
      <x:b/>
      <x:sz val="9"/>
      <x:color rgb="FF0B2E4F"/>
      <x:name val="Carlito"/>
    </x:font>
  </x:fonts>
  <x:fills count="5">
    <x:fill>
      <x:patternFill patternType="none"/>
    </x:fill>
    <x:fill>
      <x:patternFill patternType="gray125"/>
    </x:fill>
    <x:fill>
      <x:patternFill patternType="solid">
        <x:fgColor rgb="FF0B2E4F"/>
      </x:patternFill>
    </x:fill>
    <x:fill>
      <x:patternFill patternType="solid">
        <x:fgColor rgb="FFEAF6FC"/>
      </x:patternFill>
    </x:fill>
    <x:fill>
      <x:patternFill patternType="solid">
        <x:fgColor rgb="FFF6FAFC"/>
      </x:patternFill>
    </x:fill>
  </x:fills>
  <x:borders count="2">
    <x:border/>
    <x:border/>
  </x:borders>
  <x:cellStyleXfs count="1">
    <x:xf numFmtId="0" fontId="0" fillId="0" borderId="0"/>
  </x:cellStyleXfs>
  <x:cellXfs count="10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2" fillId="0" borderId="0" xfId="0" applyNumberFormat="1" applyFont="1" applyFill="1" applyBorder="1"/>
    <x:xf numFmtId="0" fontId="2" fillId="0" borderId="1" xfId="0" applyNumberFormat="1" applyFont="1" applyFill="1" applyBorder="1"/>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0" fillId="3"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0" fillId="3" borderId="1" xfId="0" applyNumberFormat="1" applyFont="1" applyFill="1" applyBorder="1" applyAlignment="1">
      <x:alignment vertical="center" wrapText="1"/>
    </x:xf>
    <x:xf numFmtId="0" fontId="3" fillId="3" borderId="1" xfId="0" applyNumberFormat="1" applyFont="1" applyFill="1" applyBorder="1" applyAlignment="1">
      <x:alignment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vertical="center" wrapText="1"/>
    </x:xf>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5" fillId="2" borderId="0" xfId="0" applyNumberFormat="1" applyFont="1" applyFill="1" applyBorder="1" applyAlignment="1">
      <x:alignment horizontal="center" vertical="center" wrapText="1"/>
    </x:xf>
    <x:xf numFmtId="0" fontId="5" fillId="2" borderId="1" xfId="0" applyNumberFormat="1" applyFont="1" applyFill="1" applyBorder="1"/>
    <x:xf numFmtId="0" fontId="5" fillId="2" borderId="1" xfId="0" applyNumberFormat="1" applyFont="1" applyFill="1" applyBorder="1" applyAlignment="1">
      <x:alignment wrapText="1"/>
    </x:xf>
    <x:xf numFmtId="0" fontId="5" fillId="2" borderId="1" xfId="0" applyNumberFormat="1" applyFont="1" applyFill="1" applyBorder="1" applyAlignment="1">
      <x:alignment horizontal="center" wrapText="1"/>
    </x:xf>
    <x:xf numFmtId="0" fontId="5" fillId="2" borderId="1" xfId="0" applyNumberFormat="1" applyFont="1" applyFill="1" applyBorder="1" applyAlignment="1">
      <x:alignment horizontal="center" vertical="center"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0" borderId="1" xfId="0" applyNumberFormat="1" applyFont="1" applyFill="1" applyBorder="1"/>
    <x:xf numFmtId="0" fontId="6" fillId="0" borderId="1" xfId="0" applyNumberFormat="1" applyFont="1" applyFill="1" applyBorder="1" applyAlignment="1">
      <x:alignment wrapText="1"/>
    </x:xf>
    <x:xf numFmtId="0" fontId="6" fillId="0" borderId="1"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200" fontId="6" fillId="0" borderId="1" xfId="0" applyNumberFormat="1" applyFont="1" applyFill="1" applyBorder="1" applyAlignment="1">
      <x:alignment vertical="top" wrapText="1"/>
    </x:xf>
    <x:xf numFmtId="0" fontId="6" fillId="0" borderId="0" xfId="0" applyNumberFormat="1" applyFont="1" applyFill="1" applyBorder="1" applyAlignment="1">
      <x:alignment horizontal="center" vertical="top" wrapText="1"/>
    </x:xf>
    <x:xf numFmtId="0" fontId="6" fillId="0" borderId="1" xfId="0" applyNumberFormat="1" applyFont="1" applyFill="1" applyBorder="1" applyAlignment="1">
      <x:alignment horizontal="center" vertical="top" wrapText="1"/>
    </x:xf>
    <x:xf numFmtId="0" fontId="7" fillId="2" borderId="0" xfId="0" applyNumberFormat="1" applyFont="1" applyFill="1" applyBorder="1"/>
    <x:xf numFmtId="0" fontId="7" fillId="2" borderId="0" xfId="0" applyNumberFormat="1" applyFont="1" applyFill="1" applyBorder="1" applyAlignment="1">
      <x:alignment wrapText="1"/>
    </x:xf>
    <x:xf numFmtId="0" fontId="7" fillId="2" borderId="0" xfId="0" applyNumberFormat="1" applyFont="1" applyFill="1" applyBorder="1" applyAlignment="1">
      <x:alignment vertical="center" wrapText="1"/>
    </x:xf>
    <x:xf numFmtId="0" fontId="7" fillId="2" borderId="1" xfId="0" applyNumberFormat="1" applyFont="1" applyFill="1" applyBorder="1"/>
    <x:xf numFmtId="0" fontId="7" fillId="2" borderId="1" xfId="0" applyNumberFormat="1" applyFont="1" applyFill="1" applyBorder="1" applyAlignment="1">
      <x:alignment wrapText="1"/>
    </x:xf>
    <x:xf numFmtId="0" fontId="7" fillId="2" borderId="1" xfId="0" applyNumberFormat="1" applyFont="1" applyFill="1" applyBorder="1" applyAlignment="1">
      <x:alignment vertical="center" wrapText="1"/>
    </x:xf>
    <x:xf numFmtId="0" fontId="8" fillId="0" borderId="0" xfId="0" applyNumberFormat="1" applyFont="1" applyFill="1" applyBorder="1"/>
    <x:xf numFmtId="0" fontId="8" fillId="0" borderId="0" xfId="0" applyNumberFormat="1" applyFont="1" applyFill="1" applyBorder="1" applyAlignment="1">
      <x:alignment horizontal="right"/>
    </x:xf>
    <x:xf numFmtId="0" fontId="8" fillId="0" borderId="0" xfId="0" applyNumberFormat="1" applyFont="1" applyFill="1" applyBorder="1" applyAlignment="1">
      <x:alignment horizontal="right" vertical="center"/>
    </x:xf>
    <x:xf numFmtId="0" fontId="8" fillId="0" borderId="1" xfId="0" applyNumberFormat="1" applyFont="1" applyFill="1" applyBorder="1"/>
    <x:xf numFmtId="0" fontId="8" fillId="0" borderId="1" xfId="0" applyNumberFormat="1" applyFont="1" applyFill="1" applyBorder="1" applyAlignment="1">
      <x:alignment horizontal="right"/>
    </x:xf>
    <x:xf numFmtId="0" fontId="8" fillId="0" borderId="1" xfId="0" applyNumberFormat="1" applyFont="1" applyFill="1" applyBorder="1" applyAlignment="1">
      <x:alignment horizontal="right" vertical="center"/>
    </x:xf>
    <x:xf numFmtId="0" fontId="9" fillId="0" borderId="0" xfId="0" applyNumberFormat="1" applyFont="1" applyFill="1" applyBorder="1"/>
    <x:xf numFmtId="0" fontId="9" fillId="0" borderId="0" xfId="0" applyNumberFormat="1" applyFont="1" applyFill="1" applyBorder="1" applyAlignment="1">
      <x:alignment horizontal="left"/>
    </x:xf>
    <x:xf numFmtId="0" fontId="9" fillId="0" borderId="0" xfId="0" applyNumberFormat="1" applyFont="1" applyFill="1" applyBorder="1" applyAlignment="1">
      <x:alignment horizontal="left" vertical="center"/>
    </x:xf>
    <x:xf numFmtId="0" fontId="9" fillId="0" borderId="1" xfId="0" applyNumberFormat="1" applyFont="1" applyFill="1" applyBorder="1"/>
    <x:xf numFmtId="0" fontId="9" fillId="0" borderId="1" xfId="0" applyNumberFormat="1" applyFont="1" applyFill="1" applyBorder="1" applyAlignment="1">
      <x:alignment horizontal="left"/>
    </x:xf>
    <x:xf numFmtId="0" fontId="9" fillId="0" borderId="1" xfId="0" applyNumberFormat="1" applyFont="1" applyFill="1" applyBorder="1" applyAlignment="1">
      <x:alignment horizontal="left" vertic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3" fillId="0" borderId="0" xfId="0" applyNumberFormat="1" applyFont="1" applyFill="1" applyBorder="1" applyAlignment="1">
      <x:alignment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10" fillId="2" borderId="0" xfId="0" applyNumberFormat="1" applyFont="1" applyFill="1" applyBorder="1"/>
    <x:xf numFmtId="0" fontId="10" fillId="2" borderId="0" xfId="0" applyNumberFormat="1" applyFont="1" applyFill="1" applyBorder="1" applyAlignment="1">
      <x:alignment horizontal="center"/>
    </x:xf>
    <x:xf numFmtId="0" fontId="10" fillId="2" borderId="0" xfId="0" applyNumberFormat="1" applyFont="1" applyFill="1" applyBorder="1" applyAlignment="1">
      <x:alignment horizontal="center" vertical="center"/>
    </x:xf>
    <x:xf numFmtId="0" fontId="10" fillId="2" borderId="1" xfId="0" applyNumberFormat="1" applyFont="1" applyFill="1" applyBorder="1"/>
    <x:xf numFmtId="0" fontId="10" fillId="2" borderId="1" xfId="0" applyNumberFormat="1" applyFont="1" applyFill="1" applyBorder="1" applyAlignment="1">
      <x:alignment horizontal="center"/>
    </x:xf>
    <x:xf numFmtId="0" fontId="10" fillId="2" borderId="1" xfId="0" applyNumberFormat="1" applyFont="1" applyFill="1" applyBorder="1" applyAlignment="1">
      <x:alignment horizontal="center" vertical="center"/>
    </x:xf>
    <x:xf numFmtId="0" fontId="11" fillId="0" borderId="0" xfId="0" applyNumberFormat="1" applyFont="1" applyFill="1" applyBorder="1"/>
    <x:xf numFmtId="201" fontId="11" fillId="0" borderId="0" xfId="0" applyNumberFormat="1" applyFont="1" applyFill="1" applyBorder="1"/>
    <x:xf numFmtId="201" fontId="11" fillId="0" borderId="0" xfId="0" applyNumberFormat="1" applyFont="1" applyFill="1" applyBorder="1" applyAlignment="1">
      <x:alignment horizontal="center"/>
    </x:xf>
    <x:xf numFmtId="201" fontId="11" fillId="0" borderId="0" xfId="0" applyNumberFormat="1" applyFont="1" applyFill="1" applyBorder="1" applyAlignment="1">
      <x:alignment horizontal="center" vertical="center"/>
    </x:xf>
    <x:xf numFmtId="0" fontId="11" fillId="0" borderId="1" xfId="0" applyNumberFormat="1" applyFont="1" applyFill="1" applyBorder="1"/>
    <x:xf numFmtId="201" fontId="11" fillId="0" borderId="1" xfId="0" applyNumberFormat="1" applyFont="1" applyFill="1" applyBorder="1"/>
    <x:xf numFmtId="201" fontId="11" fillId="0" borderId="1" xfId="0" applyNumberFormat="1" applyFont="1" applyFill="1" applyBorder="1" applyAlignment="1">
      <x:alignment horizontal="center"/>
    </x:xf>
    <x:xf numFmtId="201" fontId="11" fillId="0" borderId="1" xfId="0" applyNumberFormat="1" applyFont="1" applyFill="1" applyBorder="1" applyAlignment="1">
      <x:alignment horizontal="center" vertical="center"/>
    </x:xf>
    <x:xf numFmtId="0" fontId="7" fillId="2" borderId="0" xfId="0" applyNumberFormat="1" applyFont="1" applyFill="1" applyBorder="1" applyAlignment="1">
      <x:alignment horizontal="center" wrapText="1"/>
    </x:xf>
    <x:xf numFmtId="0" fontId="7" fillId="2" borderId="0" xfId="0" applyNumberFormat="1" applyFont="1" applyFill="1" applyBorder="1" applyAlignment="1">
      <x:alignment horizontal="center" vertical="center" wrapText="1"/>
    </x:xf>
    <x:xf numFmtId="0" fontId="7" fillId="2" borderId="1" xfId="0" applyNumberFormat="1" applyFont="1" applyFill="1" applyBorder="1" applyAlignment="1">
      <x:alignment horizontal="center" wrapText="1"/>
    </x:xf>
    <x:xf numFmtId="0" fontId="7" fillId="2" borderId="1" xfId="0" applyNumberFormat="1" applyFont="1" applyFill="1" applyBorder="1" applyAlignment="1">
      <x:alignment horizontal="center" vertical="center" wrapText="1"/>
    </x:xf>
    <x:xf numFmtId="0" fontId="12" fillId="0" borderId="0" xfId="0" applyNumberFormat="1" applyFont="1" applyFill="1" applyBorder="1"/>
    <x:xf numFmtId="0" fontId="12" fillId="0" borderId="0" xfId="0" applyNumberFormat="1" applyFont="1" applyFill="1" applyBorder="1" applyAlignment="1">
      <x:alignment wrapText="1"/>
    </x:xf>
    <x:xf numFmtId="0" fontId="12" fillId="0" borderId="0" xfId="0" applyNumberFormat="1" applyFont="1" applyFill="1" applyBorder="1" applyAlignment="1">
      <x:alignment vertical="top" wrapText="1"/>
    </x:xf>
    <x:xf numFmtId="0" fontId="12" fillId="0" borderId="1" xfId="0" applyNumberFormat="1" applyFont="1" applyFill="1" applyBorder="1"/>
    <x:xf numFmtId="0" fontId="12" fillId="0" borderId="1" xfId="0" applyNumberFormat="1" applyFont="1" applyFill="1" applyBorder="1" applyAlignment="1">
      <x:alignment wrapText="1"/>
    </x:xf>
    <x:xf numFmtId="0" fontId="12" fillId="0" borderId="1" xfId="0" applyNumberFormat="1" applyFont="1" applyFill="1" applyBorder="1" applyAlignment="1">
      <x:alignment vertical="top" wrapText="1"/>
    </x:xf>
    <x:xf numFmtId="0" fontId="12" fillId="3" borderId="0" xfId="0" applyNumberFormat="1" applyFont="1" applyFill="1" applyBorder="1" applyAlignment="1">
      <x:alignment vertical="top" wrapText="1"/>
    </x:xf>
    <x:xf numFmtId="0" fontId="13" fillId="3" borderId="0" xfId="0" applyNumberFormat="1" applyFont="1" applyFill="1" applyBorder="1" applyAlignment="1">
      <x:alignment vertical="top" wrapText="1"/>
    </x:xf>
    <x:xf numFmtId="0" fontId="13" fillId="3" borderId="0" xfId="0" applyNumberFormat="1" applyFont="1" applyFill="1" applyBorder="1" applyAlignment="1">
      <x:alignment horizontal="center" vertical="top" wrapText="1"/>
    </x:xf>
    <x:xf numFmtId="0" fontId="12" fillId="3" borderId="1" xfId="0" applyNumberFormat="1" applyFont="1" applyFill="1" applyBorder="1" applyAlignment="1">
      <x:alignment vertical="top" wrapText="1"/>
    </x:xf>
    <x:xf numFmtId="0" fontId="13" fillId="3" borderId="1" xfId="0" applyNumberFormat="1" applyFont="1" applyFill="1" applyBorder="1" applyAlignment="1">
      <x:alignment vertical="top" wrapText="1"/>
    </x:xf>
    <x:xf numFmtId="0" fontId="13" fillId="3" borderId="1" xfId="0" applyNumberFormat="1" applyFont="1" applyFill="1" applyBorder="1" applyAlignment="1">
      <x:alignment horizontal="center" vertical="top" wrapText="1"/>
    </x:xf>
    <x:xf numFmtId="0" fontId="13" fillId="0" borderId="0" xfId="0" applyNumberFormat="1" applyFont="1" applyFill="1" applyBorder="1" applyAlignment="1">
      <x:alignment vertical="top" wrapText="1"/>
    </x:xf>
    <x:xf numFmtId="0" fontId="13" fillId="0" borderId="1" xfId="0" applyNumberFormat="1" applyFont="1" applyFill="1" applyBorder="1" applyAlignment="1">
      <x:alignment vertical="top" wrapText="1"/>
    </x:xf>
    <x:xf numFmtId="202" fontId="0" fillId="0" borderId="0" xfId="0" applyNumberFormat="1" applyFont="1" applyFill="1" applyBorder="1" applyAlignment="1">
      <x:alignment vertical="center" wrapText="1"/>
    </x:xf>
  </x:cellXfs>
  <x:cellStyles count="1">
    <x:cellStyle name="Normal" xfId="0"/>
  </x:cellStyles>
  <x:dxfs count="13">
    <x:dxf>
      <x:font>
        <x:b/>
        <x:color rgb="FF0F5132"/>
      </x:font>
      <x:fill>
        <x:patternFill patternType="solid">
          <x:bgColor rgb="FFD1E7DD"/>
        </x:patternFill>
      </x:fill>
    </x:dxf>
    <x:dxf>
      <x:font>
        <x:b/>
        <x:color rgb="FF664D03"/>
      </x:font>
      <x:fill>
        <x:patternFill patternType="solid">
          <x:bgColor rgb="FFFFF3CD"/>
        </x:patternFill>
      </x:fill>
    </x:dxf>
    <x:dxf>
      <x:font>
        <x:b/>
        <x:color rgb="FF842029"/>
      </x:font>
      <x:fill>
        <x:patternFill patternType="solid">
          <x:bgColor rgb="FFF8D7DA"/>
        </x:patternFill>
      </x:fill>
    </x:dxf>
    <x:dxf>
      <x:font>
        <x:b/>
        <x:color rgb="FF0F5132"/>
      </x:font>
      <x:fill>
        <x:patternFill patternType="solid">
          <x:bgColor rgb="FFD1E7DD"/>
        </x:patternFill>
      </x:fill>
    </x:dxf>
    <x:dxf>
      <x:font>
        <x:b/>
        <x:color rgb="FF842029"/>
      </x:font>
      <x:fill>
        <x:patternFill patternType="solid">
          <x:bgColor rgb="FFF8D7DA"/>
        </x:patternFill>
      </x:fill>
    </x:dxf>
    <x:dxf>
      <x:font>
        <x:b/>
        <x:color rgb="FF0F5132"/>
      </x:font>
      <x:fill>
        <x:patternFill patternType="solid">
          <x:bgColor rgb="FFD1E7DD"/>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664D03"/>
      </x:font>
      <x:fill>
        <x:patternFill patternType="solid">
          <x:bgColor rgb="FFFFF3CD"/>
        </x:patternFill>
      </x:fill>
    </x:dxf>
    <x:dxf>
      <x:font>
        <x:b/>
        <x:color rgb="FF842029"/>
      </x:font>
      <x:fill>
        <x:patternFill patternType="solid">
          <x:bgColor rgb="FFF8D7DA"/>
        </x:patternFill>
      </x:fill>
    </x:dxf>
    <x:dxf>
      <x:font>
        <x:b/>
        <x:color rgb="FF0F5132"/>
      </x:font>
      <x:fill>
        <x:patternFill patternType="solid">
          <x:bgColor rgb="FFD1E7DD"/>
        </x:patternFill>
      </x:fill>
    </x:dxf>
    <x:dxf>
      <x:font>
        <x:b/>
        <x:color rgb="FF664D03"/>
      </x:font>
      <x:fill>
        <x:patternFill patternType="solid">
          <x:bgColor rgb="FFFFF3CD"/>
        </x:patternFill>
      </x:fill>
    </x:dxf>
    <x:dxf>
      <x:font>
        <x:b/>
        <x:color rgb="FF842029"/>
      </x:font>
      <x:fill>
        <x:patternFill patternType="solid">
          <x:bgColor rgb="FFF8D7D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4149ed2ce59454f" /><Relationship Type="http://schemas.openxmlformats.org/officeDocument/2006/relationships/theme" Target="/xl/theme/theme1.xml" Id="R6370f17b40e54c5e" /><Relationship Type="http://schemas.openxmlformats.org/officeDocument/2006/relationships/sharedStrings" Target="/xl/sharedStrings.xml" Id="Rcead2ad89e5c4eb1" /><Relationship Type="http://schemas.openxmlformats.org/officeDocument/2006/relationships/worksheet" Target="/xl/worksheets/sheet1.xml" Id="Rf850b63ee65a4922" /><Relationship Type="http://schemas.openxmlformats.org/officeDocument/2006/relationships/worksheet" Target="/xl/worksheets/sheet2.xml" Id="R88bb3a2014bb49eb" /><Relationship Type="http://schemas.openxmlformats.org/officeDocument/2006/relationships/worksheet" Target="/xl/worksheets/sheet3.xml" Id="R5bd904d232b94797" /><Relationship Type="http://schemas.openxmlformats.org/officeDocument/2006/relationships/worksheet" Target="/xl/worksheets/sheet4.xml" Id="Rbc284c73eb4f4f22" /></Relationships>
</file>

<file path=xl/drawings/_rels/drawing1.xml.rels>&#65279;<?xml version="1.0" encoding="utf-8"?><Relationships xmlns="http://schemas.openxmlformats.org/package/2006/relationships"><Relationship Type="http://schemas.openxmlformats.org/officeDocument/2006/relationships/chart" Target="/xl/drawings/charts/chart1.xml" Id="Rb71a2ce9b3ad4c49" /><Relationship Type="http://schemas.openxmlformats.org/officeDocument/2006/relationships/chart" Target="/xl/drawings/charts/chart2.xml" Id="Rb95d0518efba44d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Evidence Status</a:t>
            </a:r>
          </a:p>
        </c:rich>
      </c:tx>
      <c:overlay val="0"/>
    </c:title>
    <c:plotArea>
      <c:barChart>
        <c:barDir val="col"/>
        <c:grouping val="clustered"/>
        <c:varyColors val="0"/>
        <c:ser>
          <c:idx val="0"/>
          <c:order val="0"/>
          <c:tx>
            <c:v>Series 1</c:v>
          </c:tx>
          <c:cat>
            <c:strRef>
              <c:f>'Readiness Summary'!$A$5:$A$7</c:f>
              <c:strCache>
                <c:ptCount val="0"/>
              </c:strCache>
            </c:strRef>
          </c:cat>
          <c:val>
            <c:numRef>
              <c:f>'Readiness Summary'!$B$5:$B$7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Final Readiness</a:t>
            </a:r>
          </a:p>
        </c:rich>
      </c:tx>
      <c:overlay val="0"/>
    </c:title>
    <c:plotArea>
      <c:barChart>
        <c:barDir val="col"/>
        <c:grouping val="clustered"/>
        <c:varyColors val="0"/>
        <c:ser>
          <c:idx val="0"/>
          <c:order val="0"/>
          <c:tx>
            <c:v>Series 1</c:v>
          </c:tx>
          <c:cat>
            <c:strRef>
              <c:f>'Readiness Summary'!$A$8:$A$9</c:f>
              <c:strCache>
                <c:ptCount val="0"/>
              </c:strCache>
            </c:strRef>
          </c:cat>
          <c:val>
            <c:numRef>
              <c:f>'Readiness Summary'!$B$8:$B$9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11</xdr:row>
      <xdr:rowOff>0</xdr:rowOff>
    </xdr:from>
    <xdr:to>
      <xdr:col>5</xdr:col>
      <xdr:colOff>0</xdr:colOff>
      <xdr:row>26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71a2ce9b3ad4c49"/>
        </a:graphicData>
      </a:graphic>
    </xdr:graphicFrame>
    <xdr:clientData/>
  </xdr:twoCellAnchor>
  <xdr:twoCellAnchor>
    <xdr:from>
      <xdr:col>5</xdr:col>
      <xdr:colOff>0</xdr:colOff>
      <xdr:row>11</xdr:row>
      <xdr:rowOff>0</xdr:rowOff>
    </xdr:from>
    <xdr:to>
      <xdr:col>10</xdr:col>
      <xdr:colOff>0</xdr:colOff>
      <xdr:row>26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95d0518efba44de"/>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bc8793c370c34340" /></Relationships>
</file>

<file path=xl/worksheets/sheet1.xml><?xml version="1.0" encoding="utf-8"?>
<x:worksheet xmlns:x="http://schemas.openxmlformats.org/spreadsheetml/2006/main">
  <x:sheetViews>
    <x:sheetView workbookViewId="0">
      <x:pane xSplit="4" ySplit="8" topLeftCell="E9" activePane="bottomRight" state="frozen"/>
    </x:sheetView>
  </x:sheetViews>
  <x:sheetFormatPr defaultRowHeight="15"/>
  <x:cols>
    <x:col min="1" max="1" width="10" hidden="0" customWidth="1"/>
    <x:col min="2" max="2" width="22" hidden="0" customWidth="1"/>
    <x:col min="3" max="3" width="20" hidden="0" customWidth="1"/>
    <x:col min="4" max="4" width="30" hidden="0" customWidth="1"/>
    <x:col min="5" max="5" width="15" hidden="0" customWidth="1"/>
    <x:col min="6" max="6" width="12" hidden="0" customWidth="1"/>
    <x:col min="7" max="7" width="18" hidden="0" customWidth="1"/>
    <x:col min="8" max="8" width="18" hidden="0" customWidth="1"/>
    <x:col min="9" max="9" width="18" hidden="0" customWidth="1"/>
    <x:col min="10" max="10" width="28" hidden="0" customWidth="1"/>
    <x:col min="11" max="11" width="11" hidden="0" customWidth="1"/>
    <x:col min="12" max="12" width="14" hidden="0" customWidth="1"/>
    <x:col min="13" max="13" width="14" hidden="0" customWidth="1"/>
    <x:col min="14" max="14" width="13" hidden="0" customWidth="1"/>
    <x:col min="15" max="15" width="14" hidden="0" customWidth="1"/>
    <x:col min="16" max="16" width="12" hidden="0" customWidth="1"/>
    <x:col min="17" max="17" width="12" hidden="0" customWidth="1"/>
    <x:col min="18" max="18" width="26" hidden="0" customWidth="1"/>
    <x:col min="19" max="19" width="26" hidden="0" customWidth="1"/>
    <x:col min="20" max="20" width="18" hidden="0" customWidth="1"/>
    <x:col min="21" max="21" width="14" hidden="0" customWidth="1"/>
    <x:col min="22" max="22" width="13" hidden="0" customWidth="1"/>
    <x:col min="23" max="23" width="16" hidden="0" customWidth="1"/>
    <x:col min="24" max="24" width="30" hidden="0" customWidth="1"/>
  </x:cols>
  <x:sheetData>
    <x:row r="1" ht="30" customHeight="1">
      <x:c r="A1" s="5" t="str">
        <x:v>ValiStera  |  Inspection Readiness Evidence Index</x:v>
      </x:c>
      <x:c r="B1" s="5"/>
      <x:c r="C1" s="5"/>
      <x:c r="D1" s="5"/>
      <x:c r="E1" s="5"/>
      <x:c r="F1" s="5"/>
      <x:c r="G1" s="5"/>
      <x:c r="H1" s="5"/>
      <x:c r="I1" s="5"/>
      <x:c r="J1" s="5"/>
      <x:c r="K1" s="5"/>
      <x:c r="L1" s="5"/>
      <x:c r="M1" s="5"/>
      <x:c r="N1" s="5"/>
      <x:c r="O1" s="5"/>
      <x:c r="P1" s="5"/>
      <x:c r="Q1" s="5"/>
      <x:c r="R1" s="5"/>
      <x:c r="S1" s="5"/>
      <x:c r="T1" s="5"/>
      <x:c r="U1" s="5"/>
      <x:c r="V1" s="5"/>
      <x:c r="W1" s="5"/>
      <x:c r="X1" s="5"/>
    </x:row>
    <x:row r="2" ht="20" customHeight="1">
      <x:c r="A2" s="10" t="str">
        <x:v>VALISTERA KNOWLEDGE LIBRARY</x:v>
      </x:c>
      <x:c r="B2" s="10"/>
      <x:c r="C2" s="10"/>
      <x:c r="D2" s="10"/>
      <x:c r="E2" s="10"/>
      <x:c r="F2" s="10"/>
      <x:c r="G2" s="10"/>
      <x:c r="H2" s="10"/>
      <x:c r="I2" s="10"/>
      <x:c r="J2" s="10"/>
      <x:c r="K2" s="10"/>
      <x:c r="L2" s="10"/>
      <x:c r="M2" s="10"/>
      <x:c r="N2" s="10"/>
      <x:c r="O2" s="10"/>
      <x:c r="P2" s="10"/>
      <x:c r="Q2" s="10"/>
      <x:c r="R2" s="10"/>
      <x:c r="S2" s="10"/>
      <x:c r="T2" s="10"/>
      <x:c r="U2" s="10"/>
      <x:c r="V2" s="10"/>
      <x:c r="W2" s="10"/>
      <x:c r="X2" s="10"/>
    </x:row>
    <x:row r="4">
      <x:c r="A4" s="18" t="str">
        <x:v>Resource code</x:v>
      </x:c>
      <x:c r="B4" s="14" t="str">
        <x:v>VSR-IR-IDX-006</x:v>
      </x:c>
      <x:c r="C4" s="18" t="str">
        <x:v>Version</x:v>
      </x:c>
      <x:c r="D4" s="105" t="str">
        <x:v>9.0</x:v>
      </x:c>
      <x:c r="E4" s="18" t="str">
        <x:v>Issue date</x:v>
      </x:c>
      <x:c r="F4" s="14" t="str">
        <x:v>October 2026</x:v>
      </x:c>
      <x:c r="H4" s="24" t="str">
        <x:v>Purpose: create a controlled, inspection-focused map of evidence, ownership, retrieval paths, SME coverage, readiness gaps and follow-up actions. Adapt the fields and readiness criteria to the site's approved PQS.</x:v>
      </x:c>
      <x:c r="I4" s="24"/>
      <x:c r="J4" s="24"/>
      <x:c r="K4" s="24"/>
      <x:c r="L4" s="24"/>
      <x:c r="M4" s="24"/>
      <x:c r="N4" s="24"/>
      <x:c r="O4" s="24"/>
      <x:c r="P4" s="24"/>
      <x:c r="Q4" s="24"/>
      <x:c r="R4" s="24"/>
      <x:c r="S4" s="24"/>
      <x:c r="T4" s="24"/>
      <x:c r="U4" s="24"/>
      <x:c r="V4" s="24"/>
      <x:c r="W4" s="24"/>
      <x:c r="X4" s="24"/>
    </x:row>
    <x:row r="5">
      <x:c r="A5" s="18" t="str">
        <x:v>Primary use</x:v>
      </x:c>
      <x:c r="B5" s="14" t="str">
        <x:v>Inspection evidence readiness</x:v>
      </x:c>
      <x:c r="C5" s="18" t="str">
        <x:v>Format</x:v>
      </x:c>
      <x:c r="D5" s="14" t="str">
        <x:v>XLSX working index</x:v>
      </x:c>
      <x:c r="E5" s="18" t="str">
        <x:v>Scope</x:v>
      </x:c>
      <x:c r="F5" s="14" t="str">
        <x:v>GMP / QA / Validation / Sterile / Digital</x:v>
      </x:c>
      <x:c r="H5" s="24"/>
      <x:c r="I5" s="24"/>
      <x:c r="J5" s="24"/>
      <x:c r="K5" s="24"/>
      <x:c r="L5" s="24"/>
      <x:c r="M5" s="24"/>
      <x:c r="N5" s="24"/>
      <x:c r="O5" s="24"/>
      <x:c r="P5" s="24"/>
      <x:c r="Q5" s="24"/>
      <x:c r="R5" s="24"/>
      <x:c r="S5" s="24"/>
      <x:c r="T5" s="24"/>
      <x:c r="U5" s="24"/>
      <x:c r="V5" s="24"/>
      <x:c r="W5" s="24"/>
      <x:c r="X5" s="24"/>
    </x:row>
    <x:row r="8" ht="42" customHeight="1">
      <x:c r="A8" s="32" t="str">
        <x:v>Evidence ID</x:v>
      </x:c>
      <x:c r="B8" s="32" t="str">
        <x:v>Inspection Theme</x:v>
      </x:c>
      <x:c r="C8" s="32" t="str">
        <x:v>System / Area</x:v>
      </x:c>
      <x:c r="D8" s="32" t="str">
        <x:v>Evidence / Document</x:v>
      </x:c>
      <x:c r="E8" s="32" t="str">
        <x:v>Document No.</x:v>
      </x:c>
      <x:c r="F8" s="32" t="str">
        <x:v>Current Version</x:v>
      </x:c>
      <x:c r="G8" s="32" t="str">
        <x:v>Document Owner</x:v>
      </x:c>
      <x:c r="H8" s="32" t="str">
        <x:v>Primary SME</x:v>
      </x:c>
      <x:c r="I8" s="32" t="str">
        <x:v>Backup SME</x:v>
      </x:c>
      <x:c r="J8" s="32" t="str">
        <x:v>Retrieval Location / Path</x:v>
      </x:c>
      <x:c r="K8" s="32" t="str">
        <x:v>Criticality</x:v>
      </x:c>
      <x:c r="L8" s="32" t="str">
        <x:v>Inspection Relevance</x:v>
      </x:c>
      <x:c r="M8" s="32" t="str">
        <x:v>Evidence Status</x:v>
      </x:c>
      <x:c r="N8" s="32" t="str">
        <x:v>Last Review Date</x:v>
      </x:c>
      <x:c r="O8" s="32" t="str">
        <x:v>Next Review / Due Date</x:v>
      </x:c>
      <x:c r="P8" s="32" t="str">
        <x:v>Retrieval Test</x:v>
      </x:c>
      <x:c r="Q8" s="32" t="str">
        <x:v>Retrieval Time (min)</x:v>
      </x:c>
      <x:c r="R8" s="32" t="str">
        <x:v>Gap / Risk</x:v>
      </x:c>
      <x:c r="S8" s="32" t="str">
        <x:v>Action Required</x:v>
      </x:c>
      <x:c r="T8" s="32" t="str">
        <x:v>Action Owner</x:v>
      </x:c>
      <x:c r="U8" s="32" t="str">
        <x:v>Action Target Date</x:v>
      </x:c>
      <x:c r="V8" s="32" t="str">
        <x:v>Action Status</x:v>
      </x:c>
      <x:c r="W8" s="32" t="str">
        <x:v>Final Readiness</x:v>
      </x:c>
      <x:c r="X8" s="32" t="str">
        <x:v>Evidence / Comments</x:v>
      </x:c>
    </x:row>
    <x:row r="9">
      <x:c r="A9" s="45" t="str">
        <x:v>IR-001</x:v>
      </x:c>
      <x:c r="B9" s="39" t="str"/>
      <x:c r="C9" s="39" t="str"/>
      <x:c r="D9" s="39" t="str"/>
      <x:c r="E9" s="39" t="str"/>
      <x:c r="F9" s="39" t="str"/>
      <x:c r="G9" s="39" t="str"/>
      <x:c r="H9" s="39" t="str"/>
      <x:c r="I9" s="39" t="str"/>
      <x:c r="J9" s="39" t="str"/>
      <x:c r="K9" s="45" t="str"/>
      <x:c r="L9" s="45" t="str"/>
      <x:c r="M9" s="45" t="str"/>
      <x:c r="N9" s="43"/>
      <x:c r="O9" s="43"/>
      <x:c r="P9" s="45" t="str"/>
      <x:c r="Q9" s="45"/>
      <x:c r="R9" s="39" t="str"/>
      <x:c r="S9" s="39" t="str"/>
      <x:c r="T9" s="39" t="str"/>
      <x:c r="U9" s="43"/>
      <x:c r="V9" s="45" t="str">
        <x:v>Open</x:v>
      </x:c>
      <x:c r="W9" s="45" t="str">
        <x:f>IF(D9="","",IF(M9="Not Applicable","N/A",IF(AND(M9="Ready",P9="Pass",OR(V9="",V9="Completed",V9="Accepted"),OR(U9="",U9&gt;=TODAY())),"Ready","Attention Required")))</x:f>
      </x:c>
      <x:c r="X9" s="39" t="str"/>
    </x:row>
    <x:row r="10">
      <x:c r="A10" s="45" t="str">
        <x:v>IR-002</x:v>
      </x:c>
      <x:c r="B10" s="39" t="str"/>
      <x:c r="C10" s="39" t="str"/>
      <x:c r="D10" s="39" t="str"/>
      <x:c r="E10" s="39" t="str"/>
      <x:c r="F10" s="39" t="str"/>
      <x:c r="G10" s="39" t="str"/>
      <x:c r="H10" s="39" t="str"/>
      <x:c r="I10" s="39" t="str"/>
      <x:c r="J10" s="39" t="str"/>
      <x:c r="K10" s="45" t="str"/>
      <x:c r="L10" s="45" t="str"/>
      <x:c r="M10" s="45" t="str"/>
      <x:c r="N10" s="43"/>
      <x:c r="O10" s="43"/>
      <x:c r="P10" s="45" t="str"/>
      <x:c r="Q10" s="45"/>
      <x:c r="R10" s="39" t="str"/>
      <x:c r="S10" s="39" t="str"/>
      <x:c r="T10" s="39" t="str"/>
      <x:c r="U10" s="43"/>
      <x:c r="V10" s="45" t="str">
        <x:v>Open</x:v>
      </x:c>
      <x:c r="W10" s="45" t="str">
        <x:f>IF(D10="","",IF(M10="Not Applicable","N/A",IF(AND(M10="Ready",P10="Pass",OR(V10="",V10="Completed",V10="Accepted"),OR(U10="",U10&gt;=TODAY())),"Ready","Attention Required")))</x:f>
      </x:c>
      <x:c r="X10" s="39" t="str"/>
    </x:row>
    <x:row r="11">
      <x:c r="A11" s="45" t="str">
        <x:v>IR-003</x:v>
      </x:c>
      <x:c r="B11" s="39" t="str"/>
      <x:c r="C11" s="39" t="str"/>
      <x:c r="D11" s="39" t="str"/>
      <x:c r="E11" s="39" t="str"/>
      <x:c r="F11" s="39" t="str"/>
      <x:c r="G11" s="39" t="str"/>
      <x:c r="H11" s="39" t="str"/>
      <x:c r="I11" s="39" t="str"/>
      <x:c r="J11" s="39" t="str"/>
      <x:c r="K11" s="45" t="str"/>
      <x:c r="L11" s="45" t="str"/>
      <x:c r="M11" s="45" t="str"/>
      <x:c r="N11" s="43"/>
      <x:c r="O11" s="43"/>
      <x:c r="P11" s="45" t="str"/>
      <x:c r="Q11" s="45"/>
      <x:c r="R11" s="39" t="str"/>
      <x:c r="S11" s="39" t="str"/>
      <x:c r="T11" s="39" t="str"/>
      <x:c r="U11" s="43"/>
      <x:c r="V11" s="45" t="str">
        <x:v>Open</x:v>
      </x:c>
      <x:c r="W11" s="45" t="str">
        <x:f>IF(D11="","",IF(M11="Not Applicable","N/A",IF(AND(M11="Ready",P11="Pass",OR(V11="",V11="Completed",V11="Accepted"),OR(U11="",U11&gt;=TODAY())),"Ready","Attention Required")))</x:f>
      </x:c>
      <x:c r="X11" s="39" t="str"/>
    </x:row>
    <x:row r="12">
      <x:c r="A12" s="45" t="str">
        <x:v>IR-004</x:v>
      </x:c>
      <x:c r="B12" s="39" t="str"/>
      <x:c r="C12" s="39" t="str"/>
      <x:c r="D12" s="39" t="str"/>
      <x:c r="E12" s="39" t="str"/>
      <x:c r="F12" s="39" t="str"/>
      <x:c r="G12" s="39" t="str"/>
      <x:c r="H12" s="39" t="str"/>
      <x:c r="I12" s="39" t="str"/>
      <x:c r="J12" s="39" t="str"/>
      <x:c r="K12" s="45" t="str"/>
      <x:c r="L12" s="45" t="str"/>
      <x:c r="M12" s="45" t="str"/>
      <x:c r="N12" s="43"/>
      <x:c r="O12" s="43"/>
      <x:c r="P12" s="45" t="str"/>
      <x:c r="Q12" s="45"/>
      <x:c r="R12" s="39" t="str"/>
      <x:c r="S12" s="39" t="str"/>
      <x:c r="T12" s="39" t="str"/>
      <x:c r="U12" s="43"/>
      <x:c r="V12" s="45" t="str">
        <x:v>Open</x:v>
      </x:c>
      <x:c r="W12" s="45" t="str">
        <x:f>IF(D12="","",IF(M12="Not Applicable","N/A",IF(AND(M12="Ready",P12="Pass",OR(V12="",V12="Completed",V12="Accepted"),OR(U12="",U12&gt;=TODAY())),"Ready","Attention Required")))</x:f>
      </x:c>
      <x:c r="X12" s="39" t="str"/>
    </x:row>
    <x:row r="13">
      <x:c r="A13" s="45" t="str">
        <x:v>IR-005</x:v>
      </x:c>
      <x:c r="B13" s="39" t="str"/>
      <x:c r="C13" s="39" t="str"/>
      <x:c r="D13" s="39" t="str"/>
      <x:c r="E13" s="39" t="str"/>
      <x:c r="F13" s="39" t="str"/>
      <x:c r="G13" s="39" t="str"/>
      <x:c r="H13" s="39" t="str"/>
      <x:c r="I13" s="39" t="str"/>
      <x:c r="J13" s="39" t="str"/>
      <x:c r="K13" s="45" t="str"/>
      <x:c r="L13" s="45" t="str"/>
      <x:c r="M13" s="45" t="str"/>
      <x:c r="N13" s="43"/>
      <x:c r="O13" s="43"/>
      <x:c r="P13" s="45" t="str"/>
      <x:c r="Q13" s="45"/>
      <x:c r="R13" s="39" t="str"/>
      <x:c r="S13" s="39" t="str"/>
      <x:c r="T13" s="39" t="str"/>
      <x:c r="U13" s="43"/>
      <x:c r="V13" s="45" t="str">
        <x:v>Open</x:v>
      </x:c>
      <x:c r="W13" s="45" t="str">
        <x:f>IF(D13="","",IF(M13="Not Applicable","N/A",IF(AND(M13="Ready",P13="Pass",OR(V13="",V13="Completed",V13="Accepted"),OR(U13="",U13&gt;=TODAY())),"Ready","Attention Required")))</x:f>
      </x:c>
      <x:c r="X13" s="39" t="str"/>
    </x:row>
    <x:row r="14">
      <x:c r="A14" s="45" t="str">
        <x:v>IR-006</x:v>
      </x:c>
      <x:c r="B14" s="39" t="str"/>
      <x:c r="C14" s="39" t="str"/>
      <x:c r="D14" s="39" t="str"/>
      <x:c r="E14" s="39" t="str"/>
      <x:c r="F14" s="39" t="str"/>
      <x:c r="G14" s="39" t="str"/>
      <x:c r="H14" s="39" t="str"/>
      <x:c r="I14" s="39" t="str"/>
      <x:c r="J14" s="39" t="str"/>
      <x:c r="K14" s="45" t="str"/>
      <x:c r="L14" s="45" t="str"/>
      <x:c r="M14" s="45" t="str"/>
      <x:c r="N14" s="43"/>
      <x:c r="O14" s="43"/>
      <x:c r="P14" s="45" t="str"/>
      <x:c r="Q14" s="45"/>
      <x:c r="R14" s="39" t="str"/>
      <x:c r="S14" s="39" t="str"/>
      <x:c r="T14" s="39" t="str"/>
      <x:c r="U14" s="43"/>
      <x:c r="V14" s="45" t="str">
        <x:v>Open</x:v>
      </x:c>
      <x:c r="W14" s="45" t="str">
        <x:f>IF(D14="","",IF(M14="Not Applicable","N/A",IF(AND(M14="Ready",P14="Pass",OR(V14="",V14="Completed",V14="Accepted"),OR(U14="",U14&gt;=TODAY())),"Ready","Attention Required")))</x:f>
      </x:c>
      <x:c r="X14" s="39" t="str"/>
    </x:row>
    <x:row r="15">
      <x:c r="A15" s="45" t="str">
        <x:v>IR-007</x:v>
      </x:c>
      <x:c r="B15" s="39" t="str"/>
      <x:c r="C15" s="39" t="str"/>
      <x:c r="D15" s="39" t="str"/>
      <x:c r="E15" s="39" t="str"/>
      <x:c r="F15" s="39" t="str"/>
      <x:c r="G15" s="39" t="str"/>
      <x:c r="H15" s="39" t="str"/>
      <x:c r="I15" s="39" t="str"/>
      <x:c r="J15" s="39" t="str"/>
      <x:c r="K15" s="45" t="str"/>
      <x:c r="L15" s="45" t="str"/>
      <x:c r="M15" s="45" t="str"/>
      <x:c r="N15" s="43"/>
      <x:c r="O15" s="43"/>
      <x:c r="P15" s="45" t="str"/>
      <x:c r="Q15" s="45"/>
      <x:c r="R15" s="39" t="str"/>
      <x:c r="S15" s="39" t="str"/>
      <x:c r="T15" s="39" t="str"/>
      <x:c r="U15" s="43"/>
      <x:c r="V15" s="45" t="str">
        <x:v>Open</x:v>
      </x:c>
      <x:c r="W15" s="45" t="str">
        <x:f>IF(D15="","",IF(M15="Not Applicable","N/A",IF(AND(M15="Ready",P15="Pass",OR(V15="",V15="Completed",V15="Accepted"),OR(U15="",U15&gt;=TODAY())),"Ready","Attention Required")))</x:f>
      </x:c>
      <x:c r="X15" s="39" t="str"/>
    </x:row>
    <x:row r="16">
      <x:c r="A16" s="45" t="str">
        <x:v>IR-008</x:v>
      </x:c>
      <x:c r="B16" s="39" t="str"/>
      <x:c r="C16" s="39" t="str"/>
      <x:c r="D16" s="39" t="str"/>
      <x:c r="E16" s="39" t="str"/>
      <x:c r="F16" s="39" t="str"/>
      <x:c r="G16" s="39" t="str"/>
      <x:c r="H16" s="39" t="str"/>
      <x:c r="I16" s="39" t="str"/>
      <x:c r="J16" s="39" t="str"/>
      <x:c r="K16" s="45" t="str"/>
      <x:c r="L16" s="45" t="str"/>
      <x:c r="M16" s="45" t="str"/>
      <x:c r="N16" s="43"/>
      <x:c r="O16" s="43"/>
      <x:c r="P16" s="45" t="str"/>
      <x:c r="Q16" s="45"/>
      <x:c r="R16" s="39" t="str"/>
      <x:c r="S16" s="39" t="str"/>
      <x:c r="T16" s="39" t="str"/>
      <x:c r="U16" s="43"/>
      <x:c r="V16" s="45" t="str">
        <x:v>Open</x:v>
      </x:c>
      <x:c r="W16" s="45" t="str">
        <x:f>IF(D16="","",IF(M16="Not Applicable","N/A",IF(AND(M16="Ready",P16="Pass",OR(V16="",V16="Completed",V16="Accepted"),OR(U16="",U16&gt;=TODAY())),"Ready","Attention Required")))</x:f>
      </x:c>
      <x:c r="X16" s="39" t="str"/>
    </x:row>
    <x:row r="17">
      <x:c r="A17" s="45" t="str">
        <x:v>IR-009</x:v>
      </x:c>
      <x:c r="B17" s="39" t="str"/>
      <x:c r="C17" s="39" t="str"/>
      <x:c r="D17" s="39" t="str"/>
      <x:c r="E17" s="39" t="str"/>
      <x:c r="F17" s="39" t="str"/>
      <x:c r="G17" s="39" t="str"/>
      <x:c r="H17" s="39" t="str"/>
      <x:c r="I17" s="39" t="str"/>
      <x:c r="J17" s="39" t="str"/>
      <x:c r="K17" s="45" t="str"/>
      <x:c r="L17" s="45" t="str"/>
      <x:c r="M17" s="45" t="str"/>
      <x:c r="N17" s="43"/>
      <x:c r="O17" s="43"/>
      <x:c r="P17" s="45" t="str"/>
      <x:c r="Q17" s="45"/>
      <x:c r="R17" s="39" t="str"/>
      <x:c r="S17" s="39" t="str"/>
      <x:c r="T17" s="39" t="str"/>
      <x:c r="U17" s="43"/>
      <x:c r="V17" s="45" t="str">
        <x:v>Open</x:v>
      </x:c>
      <x:c r="W17" s="45" t="str">
        <x:f>IF(D17="","",IF(M17="Not Applicable","N/A",IF(AND(M17="Ready",P17="Pass",OR(V17="",V17="Completed",V17="Accepted"),OR(U17="",U17&gt;=TODAY())),"Ready","Attention Required")))</x:f>
      </x:c>
      <x:c r="X17" s="39" t="str"/>
    </x:row>
    <x:row r="18">
      <x:c r="A18" s="45" t="str">
        <x:v>IR-010</x:v>
      </x:c>
      <x:c r="B18" s="39" t="str"/>
      <x:c r="C18" s="39" t="str"/>
      <x:c r="D18" s="39" t="str"/>
      <x:c r="E18" s="39" t="str"/>
      <x:c r="F18" s="39" t="str"/>
      <x:c r="G18" s="39" t="str"/>
      <x:c r="H18" s="39" t="str"/>
      <x:c r="I18" s="39" t="str"/>
      <x:c r="J18" s="39" t="str"/>
      <x:c r="K18" s="45" t="str"/>
      <x:c r="L18" s="45" t="str"/>
      <x:c r="M18" s="45" t="str"/>
      <x:c r="N18" s="43"/>
      <x:c r="O18" s="43"/>
      <x:c r="P18" s="45" t="str"/>
      <x:c r="Q18" s="45"/>
      <x:c r="R18" s="39" t="str"/>
      <x:c r="S18" s="39" t="str"/>
      <x:c r="T18" s="39" t="str"/>
      <x:c r="U18" s="43"/>
      <x:c r="V18" s="45" t="str">
        <x:v>Open</x:v>
      </x:c>
      <x:c r="W18" s="45" t="str">
        <x:f>IF(D18="","",IF(M18="Not Applicable","N/A",IF(AND(M18="Ready",P18="Pass",OR(V18="",V18="Completed",V18="Accepted"),OR(U18="",U18&gt;=TODAY())),"Ready","Attention Required")))</x:f>
      </x:c>
      <x:c r="X18" s="39" t="str"/>
    </x:row>
    <x:row r="19">
      <x:c r="A19" s="45" t="str">
        <x:v>IR-011</x:v>
      </x:c>
      <x:c r="B19" s="39" t="str"/>
      <x:c r="C19" s="39" t="str"/>
      <x:c r="D19" s="39" t="str"/>
      <x:c r="E19" s="39" t="str"/>
      <x:c r="F19" s="39" t="str"/>
      <x:c r="G19" s="39" t="str"/>
      <x:c r="H19" s="39" t="str"/>
      <x:c r="I19" s="39" t="str"/>
      <x:c r="J19" s="39" t="str"/>
      <x:c r="K19" s="45" t="str"/>
      <x:c r="L19" s="45" t="str"/>
      <x:c r="M19" s="45" t="str"/>
      <x:c r="N19" s="43"/>
      <x:c r="O19" s="43"/>
      <x:c r="P19" s="45" t="str"/>
      <x:c r="Q19" s="45"/>
      <x:c r="R19" s="39" t="str"/>
      <x:c r="S19" s="39" t="str"/>
      <x:c r="T19" s="39" t="str"/>
      <x:c r="U19" s="43"/>
      <x:c r="V19" s="45" t="str">
        <x:v>Open</x:v>
      </x:c>
      <x:c r="W19" s="45" t="str">
        <x:f>IF(D19="","",IF(M19="Not Applicable","N/A",IF(AND(M19="Ready",P19="Pass",OR(V19="",V19="Completed",V19="Accepted"),OR(U19="",U19&gt;=TODAY())),"Ready","Attention Required")))</x:f>
      </x:c>
      <x:c r="X19" s="39" t="str"/>
    </x:row>
    <x:row r="20">
      <x:c r="A20" s="45" t="str">
        <x:v>IR-012</x:v>
      </x:c>
      <x:c r="B20" s="39" t="str"/>
      <x:c r="C20" s="39" t="str"/>
      <x:c r="D20" s="39" t="str"/>
      <x:c r="E20" s="39" t="str"/>
      <x:c r="F20" s="39" t="str"/>
      <x:c r="G20" s="39" t="str"/>
      <x:c r="H20" s="39" t="str"/>
      <x:c r="I20" s="39" t="str"/>
      <x:c r="J20" s="39" t="str"/>
      <x:c r="K20" s="45" t="str"/>
      <x:c r="L20" s="45" t="str"/>
      <x:c r="M20" s="45" t="str"/>
      <x:c r="N20" s="43"/>
      <x:c r="O20" s="43"/>
      <x:c r="P20" s="45" t="str"/>
      <x:c r="Q20" s="45"/>
      <x:c r="R20" s="39" t="str"/>
      <x:c r="S20" s="39" t="str"/>
      <x:c r="T20" s="39" t="str"/>
      <x:c r="U20" s="43"/>
      <x:c r="V20" s="45" t="str">
        <x:v>Open</x:v>
      </x:c>
      <x:c r="W20" s="45" t="str">
        <x:f>IF(D20="","",IF(M20="Not Applicable","N/A",IF(AND(M20="Ready",P20="Pass",OR(V20="",V20="Completed",V20="Accepted"),OR(U20="",U20&gt;=TODAY())),"Ready","Attention Required")))</x:f>
      </x:c>
      <x:c r="X20" s="39" t="str"/>
    </x:row>
    <x:row r="21">
      <x:c r="A21" s="45" t="str">
        <x:v>IR-013</x:v>
      </x:c>
      <x:c r="B21" s="39" t="str"/>
      <x:c r="C21" s="39" t="str"/>
      <x:c r="D21" s="39" t="str"/>
      <x:c r="E21" s="39" t="str"/>
      <x:c r="F21" s="39" t="str"/>
      <x:c r="G21" s="39" t="str"/>
      <x:c r="H21" s="39" t="str"/>
      <x:c r="I21" s="39" t="str"/>
      <x:c r="J21" s="39" t="str"/>
      <x:c r="K21" s="45" t="str"/>
      <x:c r="L21" s="45" t="str"/>
      <x:c r="M21" s="45" t="str"/>
      <x:c r="N21" s="43"/>
      <x:c r="O21" s="43"/>
      <x:c r="P21" s="45" t="str"/>
      <x:c r="Q21" s="45"/>
      <x:c r="R21" s="39" t="str"/>
      <x:c r="S21" s="39" t="str"/>
      <x:c r="T21" s="39" t="str"/>
      <x:c r="U21" s="43"/>
      <x:c r="V21" s="45" t="str">
        <x:v>Open</x:v>
      </x:c>
      <x:c r="W21" s="45" t="str">
        <x:f>IF(D21="","",IF(M21="Not Applicable","N/A",IF(AND(M21="Ready",P21="Pass",OR(V21="",V21="Completed",V21="Accepted"),OR(U21="",U21&gt;=TODAY())),"Ready","Attention Required")))</x:f>
      </x:c>
      <x:c r="X21" s="39" t="str"/>
    </x:row>
    <x:row r="22">
      <x:c r="A22" s="45" t="str">
        <x:v>IR-014</x:v>
      </x:c>
      <x:c r="B22" s="39" t="str"/>
      <x:c r="C22" s="39" t="str"/>
      <x:c r="D22" s="39" t="str"/>
      <x:c r="E22" s="39" t="str"/>
      <x:c r="F22" s="39" t="str"/>
      <x:c r="G22" s="39" t="str"/>
      <x:c r="H22" s="39" t="str"/>
      <x:c r="I22" s="39" t="str"/>
      <x:c r="J22" s="39" t="str"/>
      <x:c r="K22" s="45" t="str"/>
      <x:c r="L22" s="45" t="str"/>
      <x:c r="M22" s="45" t="str"/>
      <x:c r="N22" s="43"/>
      <x:c r="O22" s="43"/>
      <x:c r="P22" s="45" t="str"/>
      <x:c r="Q22" s="45"/>
      <x:c r="R22" s="39" t="str"/>
      <x:c r="S22" s="39" t="str"/>
      <x:c r="T22" s="39" t="str"/>
      <x:c r="U22" s="43"/>
      <x:c r="V22" s="45" t="str">
        <x:v>Open</x:v>
      </x:c>
      <x:c r="W22" s="45" t="str">
        <x:f>IF(D22="","",IF(M22="Not Applicable","N/A",IF(AND(M22="Ready",P22="Pass",OR(V22="",V22="Completed",V22="Accepted"),OR(U22="",U22&gt;=TODAY())),"Ready","Attention Required")))</x:f>
      </x:c>
      <x:c r="X22" s="39" t="str"/>
    </x:row>
    <x:row r="23">
      <x:c r="A23" s="45" t="str">
        <x:v>IR-015</x:v>
      </x:c>
      <x:c r="B23" s="39" t="str"/>
      <x:c r="C23" s="39" t="str"/>
      <x:c r="D23" s="39" t="str"/>
      <x:c r="E23" s="39" t="str"/>
      <x:c r="F23" s="39" t="str"/>
      <x:c r="G23" s="39" t="str"/>
      <x:c r="H23" s="39" t="str"/>
      <x:c r="I23" s="39" t="str"/>
      <x:c r="J23" s="39" t="str"/>
      <x:c r="K23" s="45" t="str"/>
      <x:c r="L23" s="45" t="str"/>
      <x:c r="M23" s="45" t="str"/>
      <x:c r="N23" s="43"/>
      <x:c r="O23" s="43"/>
      <x:c r="P23" s="45" t="str"/>
      <x:c r="Q23" s="45"/>
      <x:c r="R23" s="39" t="str"/>
      <x:c r="S23" s="39" t="str"/>
      <x:c r="T23" s="39" t="str"/>
      <x:c r="U23" s="43"/>
      <x:c r="V23" s="45" t="str">
        <x:v>Open</x:v>
      </x:c>
      <x:c r="W23" s="45" t="str">
        <x:f>IF(D23="","",IF(M23="Not Applicable","N/A",IF(AND(M23="Ready",P23="Pass",OR(V23="",V23="Completed",V23="Accepted"),OR(U23="",U23&gt;=TODAY())),"Ready","Attention Required")))</x:f>
      </x:c>
      <x:c r="X23" s="39" t="str"/>
    </x:row>
    <x:row r="24">
      <x:c r="A24" s="45" t="str">
        <x:v>IR-016</x:v>
      </x:c>
      <x:c r="B24" s="39" t="str"/>
      <x:c r="C24" s="39" t="str"/>
      <x:c r="D24" s="39" t="str"/>
      <x:c r="E24" s="39" t="str"/>
      <x:c r="F24" s="39" t="str"/>
      <x:c r="G24" s="39" t="str"/>
      <x:c r="H24" s="39" t="str"/>
      <x:c r="I24" s="39" t="str"/>
      <x:c r="J24" s="39" t="str"/>
      <x:c r="K24" s="45" t="str"/>
      <x:c r="L24" s="45" t="str"/>
      <x:c r="M24" s="45" t="str"/>
      <x:c r="N24" s="43"/>
      <x:c r="O24" s="43"/>
      <x:c r="P24" s="45" t="str"/>
      <x:c r="Q24" s="45"/>
      <x:c r="R24" s="39" t="str"/>
      <x:c r="S24" s="39" t="str"/>
      <x:c r="T24" s="39" t="str"/>
      <x:c r="U24" s="43"/>
      <x:c r="V24" s="45" t="str">
        <x:v>Open</x:v>
      </x:c>
      <x:c r="W24" s="45" t="str">
        <x:f>IF(D24="","",IF(M24="Not Applicable","N/A",IF(AND(M24="Ready",P24="Pass",OR(V24="",V24="Completed",V24="Accepted"),OR(U24="",U24&gt;=TODAY())),"Ready","Attention Required")))</x:f>
      </x:c>
      <x:c r="X24" s="39" t="str"/>
    </x:row>
    <x:row r="25">
      <x:c r="A25" s="45" t="str">
        <x:v>IR-017</x:v>
      </x:c>
      <x:c r="B25" s="39" t="str"/>
      <x:c r="C25" s="39" t="str"/>
      <x:c r="D25" s="39" t="str"/>
      <x:c r="E25" s="39" t="str"/>
      <x:c r="F25" s="39" t="str"/>
      <x:c r="G25" s="39" t="str"/>
      <x:c r="H25" s="39" t="str"/>
      <x:c r="I25" s="39" t="str"/>
      <x:c r="J25" s="39" t="str"/>
      <x:c r="K25" s="45" t="str"/>
      <x:c r="L25" s="45" t="str"/>
      <x:c r="M25" s="45" t="str"/>
      <x:c r="N25" s="43"/>
      <x:c r="O25" s="43"/>
      <x:c r="P25" s="45" t="str"/>
      <x:c r="Q25" s="45"/>
      <x:c r="R25" s="39" t="str"/>
      <x:c r="S25" s="39" t="str"/>
      <x:c r="T25" s="39" t="str"/>
      <x:c r="U25" s="43"/>
      <x:c r="V25" s="45" t="str">
        <x:v>Open</x:v>
      </x:c>
      <x:c r="W25" s="45" t="str">
        <x:f>IF(D25="","",IF(M25="Not Applicable","N/A",IF(AND(M25="Ready",P25="Pass",OR(V25="",V25="Completed",V25="Accepted"),OR(U25="",U25&gt;=TODAY())),"Ready","Attention Required")))</x:f>
      </x:c>
      <x:c r="X25" s="39" t="str"/>
    </x:row>
    <x:row r="26">
      <x:c r="A26" s="45" t="str">
        <x:v>IR-018</x:v>
      </x:c>
      <x:c r="B26" s="39" t="str"/>
      <x:c r="C26" s="39" t="str"/>
      <x:c r="D26" s="39" t="str"/>
      <x:c r="E26" s="39" t="str"/>
      <x:c r="F26" s="39" t="str"/>
      <x:c r="G26" s="39" t="str"/>
      <x:c r="H26" s="39" t="str"/>
      <x:c r="I26" s="39" t="str"/>
      <x:c r="J26" s="39" t="str"/>
      <x:c r="K26" s="45" t="str"/>
      <x:c r="L26" s="45" t="str"/>
      <x:c r="M26" s="45" t="str"/>
      <x:c r="N26" s="43"/>
      <x:c r="O26" s="43"/>
      <x:c r="P26" s="45" t="str"/>
      <x:c r="Q26" s="45"/>
      <x:c r="R26" s="39" t="str"/>
      <x:c r="S26" s="39" t="str"/>
      <x:c r="T26" s="39" t="str"/>
      <x:c r="U26" s="43"/>
      <x:c r="V26" s="45" t="str">
        <x:v>Open</x:v>
      </x:c>
      <x:c r="W26" s="45" t="str">
        <x:f>IF(D26="","",IF(M26="Not Applicable","N/A",IF(AND(M26="Ready",P26="Pass",OR(V26="",V26="Completed",V26="Accepted"),OR(U26="",U26&gt;=TODAY())),"Ready","Attention Required")))</x:f>
      </x:c>
      <x:c r="X26" s="39" t="str"/>
    </x:row>
    <x:row r="27">
      <x:c r="A27" s="45" t="str">
        <x:v>IR-019</x:v>
      </x:c>
      <x:c r="B27" s="39" t="str"/>
      <x:c r="C27" s="39" t="str"/>
      <x:c r="D27" s="39" t="str"/>
      <x:c r="E27" s="39" t="str"/>
      <x:c r="F27" s="39" t="str"/>
      <x:c r="G27" s="39" t="str"/>
      <x:c r="H27" s="39" t="str"/>
      <x:c r="I27" s="39" t="str"/>
      <x:c r="J27" s="39" t="str"/>
      <x:c r="K27" s="45" t="str"/>
      <x:c r="L27" s="45" t="str"/>
      <x:c r="M27" s="45" t="str"/>
      <x:c r="N27" s="43"/>
      <x:c r="O27" s="43"/>
      <x:c r="P27" s="45" t="str"/>
      <x:c r="Q27" s="45"/>
      <x:c r="R27" s="39" t="str"/>
      <x:c r="S27" s="39" t="str"/>
      <x:c r="T27" s="39" t="str"/>
      <x:c r="U27" s="43"/>
      <x:c r="V27" s="45" t="str">
        <x:v>Open</x:v>
      </x:c>
      <x:c r="W27" s="45" t="str">
        <x:f>IF(D27="","",IF(M27="Not Applicable","N/A",IF(AND(M27="Ready",P27="Pass",OR(V27="",V27="Completed",V27="Accepted"),OR(U27="",U27&gt;=TODAY())),"Ready","Attention Required")))</x:f>
      </x:c>
      <x:c r="X27" s="39" t="str"/>
    </x:row>
    <x:row r="28">
      <x:c r="A28" s="45" t="str">
        <x:v>IR-020</x:v>
      </x:c>
      <x:c r="B28" s="39" t="str"/>
      <x:c r="C28" s="39" t="str"/>
      <x:c r="D28" s="39" t="str"/>
      <x:c r="E28" s="39" t="str"/>
      <x:c r="F28" s="39" t="str"/>
      <x:c r="G28" s="39" t="str"/>
      <x:c r="H28" s="39" t="str"/>
      <x:c r="I28" s="39" t="str"/>
      <x:c r="J28" s="39" t="str"/>
      <x:c r="K28" s="45" t="str"/>
      <x:c r="L28" s="45" t="str"/>
      <x:c r="M28" s="45" t="str"/>
      <x:c r="N28" s="43"/>
      <x:c r="O28" s="43"/>
      <x:c r="P28" s="45" t="str"/>
      <x:c r="Q28" s="45"/>
      <x:c r="R28" s="39" t="str"/>
      <x:c r="S28" s="39" t="str"/>
      <x:c r="T28" s="39" t="str"/>
      <x:c r="U28" s="43"/>
      <x:c r="V28" s="45" t="str">
        <x:v>Open</x:v>
      </x:c>
      <x:c r="W28" s="45" t="str">
        <x:f>IF(D28="","",IF(M28="Not Applicable","N/A",IF(AND(M28="Ready",P28="Pass",OR(V28="",V28="Completed",V28="Accepted"),OR(U28="",U28&gt;=TODAY())),"Ready","Attention Required")))</x:f>
      </x:c>
      <x:c r="X28" s="39" t="str"/>
    </x:row>
    <x:row r="29">
      <x:c r="A29" s="45" t="str">
        <x:v>IR-021</x:v>
      </x:c>
      <x:c r="B29" s="39" t="str"/>
      <x:c r="C29" s="39" t="str"/>
      <x:c r="D29" s="39" t="str"/>
      <x:c r="E29" s="39" t="str"/>
      <x:c r="F29" s="39" t="str"/>
      <x:c r="G29" s="39" t="str"/>
      <x:c r="H29" s="39" t="str"/>
      <x:c r="I29" s="39" t="str"/>
      <x:c r="J29" s="39" t="str"/>
      <x:c r="K29" s="45" t="str"/>
      <x:c r="L29" s="45" t="str"/>
      <x:c r="M29" s="45" t="str"/>
      <x:c r="N29" s="43"/>
      <x:c r="O29" s="43"/>
      <x:c r="P29" s="45" t="str"/>
      <x:c r="Q29" s="45"/>
      <x:c r="R29" s="39" t="str"/>
      <x:c r="S29" s="39" t="str"/>
      <x:c r="T29" s="39" t="str"/>
      <x:c r="U29" s="43"/>
      <x:c r="V29" s="45" t="str">
        <x:v>Open</x:v>
      </x:c>
      <x:c r="W29" s="45" t="str">
        <x:f>IF(D29="","",IF(M29="Not Applicable","N/A",IF(AND(M29="Ready",P29="Pass",OR(V29="",V29="Completed",V29="Accepted"),OR(U29="",U29&gt;=TODAY())),"Ready","Attention Required")))</x:f>
      </x:c>
      <x:c r="X29" s="39" t="str"/>
    </x:row>
    <x:row r="30">
      <x:c r="A30" s="45" t="str">
        <x:v>IR-022</x:v>
      </x:c>
      <x:c r="B30" s="39" t="str"/>
      <x:c r="C30" s="39" t="str"/>
      <x:c r="D30" s="39" t="str"/>
      <x:c r="E30" s="39" t="str"/>
      <x:c r="F30" s="39" t="str"/>
      <x:c r="G30" s="39" t="str"/>
      <x:c r="H30" s="39" t="str"/>
      <x:c r="I30" s="39" t="str"/>
      <x:c r="J30" s="39" t="str"/>
      <x:c r="K30" s="45" t="str"/>
      <x:c r="L30" s="45" t="str"/>
      <x:c r="M30" s="45" t="str"/>
      <x:c r="N30" s="43"/>
      <x:c r="O30" s="43"/>
      <x:c r="P30" s="45" t="str"/>
      <x:c r="Q30" s="45"/>
      <x:c r="R30" s="39" t="str"/>
      <x:c r="S30" s="39" t="str"/>
      <x:c r="T30" s="39" t="str"/>
      <x:c r="U30" s="43"/>
      <x:c r="V30" s="45" t="str">
        <x:v>Open</x:v>
      </x:c>
      <x:c r="W30" s="45" t="str">
        <x:f>IF(D30="","",IF(M30="Not Applicable","N/A",IF(AND(M30="Ready",P30="Pass",OR(V30="",V30="Completed",V30="Accepted"),OR(U30="",U30&gt;=TODAY())),"Ready","Attention Required")))</x:f>
      </x:c>
      <x:c r="X30" s="39" t="str"/>
    </x:row>
    <x:row r="31">
      <x:c r="A31" s="45" t="str">
        <x:v>IR-023</x:v>
      </x:c>
      <x:c r="B31" s="39" t="str"/>
      <x:c r="C31" s="39" t="str"/>
      <x:c r="D31" s="39" t="str"/>
      <x:c r="E31" s="39" t="str"/>
      <x:c r="F31" s="39" t="str"/>
      <x:c r="G31" s="39" t="str"/>
      <x:c r="H31" s="39" t="str"/>
      <x:c r="I31" s="39" t="str"/>
      <x:c r="J31" s="39" t="str"/>
      <x:c r="K31" s="45" t="str"/>
      <x:c r="L31" s="45" t="str"/>
      <x:c r="M31" s="45" t="str"/>
      <x:c r="N31" s="43"/>
      <x:c r="O31" s="43"/>
      <x:c r="P31" s="45" t="str"/>
      <x:c r="Q31" s="45"/>
      <x:c r="R31" s="39" t="str"/>
      <x:c r="S31" s="39" t="str"/>
      <x:c r="T31" s="39" t="str"/>
      <x:c r="U31" s="43"/>
      <x:c r="V31" s="45" t="str">
        <x:v>Open</x:v>
      </x:c>
      <x:c r="W31" s="45" t="str">
        <x:f>IF(D31="","",IF(M31="Not Applicable","N/A",IF(AND(M31="Ready",P31="Pass",OR(V31="",V31="Completed",V31="Accepted"),OR(U31="",U31&gt;=TODAY())),"Ready","Attention Required")))</x:f>
      </x:c>
      <x:c r="X31" s="39" t="str"/>
    </x:row>
    <x:row r="32">
      <x:c r="A32" s="45" t="str">
        <x:v>IR-024</x:v>
      </x:c>
      <x:c r="B32" s="39" t="str"/>
      <x:c r="C32" s="39" t="str"/>
      <x:c r="D32" s="39" t="str"/>
      <x:c r="E32" s="39" t="str"/>
      <x:c r="F32" s="39" t="str"/>
      <x:c r="G32" s="39" t="str"/>
      <x:c r="H32" s="39" t="str"/>
      <x:c r="I32" s="39" t="str"/>
      <x:c r="J32" s="39" t="str"/>
      <x:c r="K32" s="45" t="str"/>
      <x:c r="L32" s="45" t="str"/>
      <x:c r="M32" s="45" t="str"/>
      <x:c r="N32" s="43"/>
      <x:c r="O32" s="43"/>
      <x:c r="P32" s="45" t="str"/>
      <x:c r="Q32" s="45"/>
      <x:c r="R32" s="39" t="str"/>
      <x:c r="S32" s="39" t="str"/>
      <x:c r="T32" s="39" t="str"/>
      <x:c r="U32" s="43"/>
      <x:c r="V32" s="45" t="str">
        <x:v>Open</x:v>
      </x:c>
      <x:c r="W32" s="45" t="str">
        <x:f>IF(D32="","",IF(M32="Not Applicable","N/A",IF(AND(M32="Ready",P32="Pass",OR(V32="",V32="Completed",V32="Accepted"),OR(U32="",U32&gt;=TODAY())),"Ready","Attention Required")))</x:f>
      </x:c>
      <x:c r="X32" s="39" t="str"/>
    </x:row>
    <x:row r="33">
      <x:c r="A33" s="45" t="str">
        <x:v>IR-025</x:v>
      </x:c>
      <x:c r="B33" s="39" t="str"/>
      <x:c r="C33" s="39" t="str"/>
      <x:c r="D33" s="39" t="str"/>
      <x:c r="E33" s="39" t="str"/>
      <x:c r="F33" s="39" t="str"/>
      <x:c r="G33" s="39" t="str"/>
      <x:c r="H33" s="39" t="str"/>
      <x:c r="I33" s="39" t="str"/>
      <x:c r="J33" s="39" t="str"/>
      <x:c r="K33" s="45" t="str"/>
      <x:c r="L33" s="45" t="str"/>
      <x:c r="M33" s="45" t="str"/>
      <x:c r="N33" s="43"/>
      <x:c r="O33" s="43"/>
      <x:c r="P33" s="45" t="str"/>
      <x:c r="Q33" s="45"/>
      <x:c r="R33" s="39" t="str"/>
      <x:c r="S33" s="39" t="str"/>
      <x:c r="T33" s="39" t="str"/>
      <x:c r="U33" s="43"/>
      <x:c r="V33" s="45" t="str">
        <x:v>Open</x:v>
      </x:c>
      <x:c r="W33" s="45" t="str">
        <x:f>IF(D33="","",IF(M33="Not Applicable","N/A",IF(AND(M33="Ready",P33="Pass",OR(V33="",V33="Completed",V33="Accepted"),OR(U33="",U33&gt;=TODAY())),"Ready","Attention Required")))</x:f>
      </x:c>
      <x:c r="X33" s="39" t="str"/>
    </x:row>
    <x:row r="34">
      <x:c r="A34" s="45" t="str">
        <x:v>IR-026</x:v>
      </x:c>
      <x:c r="B34" s="39" t="str"/>
      <x:c r="C34" s="39" t="str"/>
      <x:c r="D34" s="39" t="str"/>
      <x:c r="E34" s="39" t="str"/>
      <x:c r="F34" s="39" t="str"/>
      <x:c r="G34" s="39" t="str"/>
      <x:c r="H34" s="39" t="str"/>
      <x:c r="I34" s="39" t="str"/>
      <x:c r="J34" s="39" t="str"/>
      <x:c r="K34" s="45" t="str"/>
      <x:c r="L34" s="45" t="str"/>
      <x:c r="M34" s="45" t="str"/>
      <x:c r="N34" s="43"/>
      <x:c r="O34" s="43"/>
      <x:c r="P34" s="45" t="str"/>
      <x:c r="Q34" s="45"/>
      <x:c r="R34" s="39" t="str"/>
      <x:c r="S34" s="39" t="str"/>
      <x:c r="T34" s="39" t="str"/>
      <x:c r="U34" s="43"/>
      <x:c r="V34" s="45" t="str">
        <x:v>Open</x:v>
      </x:c>
      <x:c r="W34" s="45" t="str">
        <x:f>IF(D34="","",IF(M34="Not Applicable","N/A",IF(AND(M34="Ready",P34="Pass",OR(V34="",V34="Completed",V34="Accepted"),OR(U34="",U34&gt;=TODAY())),"Ready","Attention Required")))</x:f>
      </x:c>
      <x:c r="X34" s="39" t="str"/>
    </x:row>
    <x:row r="35">
      <x:c r="A35" s="45" t="str">
        <x:v>IR-027</x:v>
      </x:c>
      <x:c r="B35" s="39" t="str"/>
      <x:c r="C35" s="39" t="str"/>
      <x:c r="D35" s="39" t="str"/>
      <x:c r="E35" s="39" t="str"/>
      <x:c r="F35" s="39" t="str"/>
      <x:c r="G35" s="39" t="str"/>
      <x:c r="H35" s="39" t="str"/>
      <x:c r="I35" s="39" t="str"/>
      <x:c r="J35" s="39" t="str"/>
      <x:c r="K35" s="45" t="str"/>
      <x:c r="L35" s="45" t="str"/>
      <x:c r="M35" s="45" t="str"/>
      <x:c r="N35" s="43"/>
      <x:c r="O35" s="43"/>
      <x:c r="P35" s="45" t="str"/>
      <x:c r="Q35" s="45"/>
      <x:c r="R35" s="39" t="str"/>
      <x:c r="S35" s="39" t="str"/>
      <x:c r="T35" s="39" t="str"/>
      <x:c r="U35" s="43"/>
      <x:c r="V35" s="45" t="str">
        <x:v>Open</x:v>
      </x:c>
      <x:c r="W35" s="45" t="str">
        <x:f>IF(D35="","",IF(M35="Not Applicable","N/A",IF(AND(M35="Ready",P35="Pass",OR(V35="",V35="Completed",V35="Accepted"),OR(U35="",U35&gt;=TODAY())),"Ready","Attention Required")))</x:f>
      </x:c>
      <x:c r="X35" s="39" t="str"/>
    </x:row>
    <x:row r="36">
      <x:c r="A36" s="45" t="str">
        <x:v>IR-028</x:v>
      </x:c>
      <x:c r="B36" s="39" t="str"/>
      <x:c r="C36" s="39" t="str"/>
      <x:c r="D36" s="39" t="str"/>
      <x:c r="E36" s="39" t="str"/>
      <x:c r="F36" s="39" t="str"/>
      <x:c r="G36" s="39" t="str"/>
      <x:c r="H36" s="39" t="str"/>
      <x:c r="I36" s="39" t="str"/>
      <x:c r="J36" s="39" t="str"/>
      <x:c r="K36" s="45" t="str"/>
      <x:c r="L36" s="45" t="str"/>
      <x:c r="M36" s="45" t="str"/>
      <x:c r="N36" s="43"/>
      <x:c r="O36" s="43"/>
      <x:c r="P36" s="45" t="str"/>
      <x:c r="Q36" s="45"/>
      <x:c r="R36" s="39" t="str"/>
      <x:c r="S36" s="39" t="str"/>
      <x:c r="T36" s="39" t="str"/>
      <x:c r="U36" s="43"/>
      <x:c r="V36" s="45" t="str">
        <x:v>Open</x:v>
      </x:c>
      <x:c r="W36" s="45" t="str">
        <x:f>IF(D36="","",IF(M36="Not Applicable","N/A",IF(AND(M36="Ready",P36="Pass",OR(V36="",V36="Completed",V36="Accepted"),OR(U36="",U36&gt;=TODAY())),"Ready","Attention Required")))</x:f>
      </x:c>
      <x:c r="X36" s="39" t="str"/>
    </x:row>
    <x:row r="37">
      <x:c r="A37" s="45" t="str">
        <x:v>IR-029</x:v>
      </x:c>
      <x:c r="B37" s="39" t="str"/>
      <x:c r="C37" s="39" t="str"/>
      <x:c r="D37" s="39" t="str"/>
      <x:c r="E37" s="39" t="str"/>
      <x:c r="F37" s="39" t="str"/>
      <x:c r="G37" s="39" t="str"/>
      <x:c r="H37" s="39" t="str"/>
      <x:c r="I37" s="39" t="str"/>
      <x:c r="J37" s="39" t="str"/>
      <x:c r="K37" s="45" t="str"/>
      <x:c r="L37" s="45" t="str"/>
      <x:c r="M37" s="45" t="str"/>
      <x:c r="N37" s="43"/>
      <x:c r="O37" s="43"/>
      <x:c r="P37" s="45" t="str"/>
      <x:c r="Q37" s="45"/>
      <x:c r="R37" s="39" t="str"/>
      <x:c r="S37" s="39" t="str"/>
      <x:c r="T37" s="39" t="str"/>
      <x:c r="U37" s="43"/>
      <x:c r="V37" s="45" t="str">
        <x:v>Open</x:v>
      </x:c>
      <x:c r="W37" s="45" t="str">
        <x:f>IF(D37="","",IF(M37="Not Applicable","N/A",IF(AND(M37="Ready",P37="Pass",OR(V37="",V37="Completed",V37="Accepted"),OR(U37="",U37&gt;=TODAY())),"Ready","Attention Required")))</x:f>
      </x:c>
      <x:c r="X37" s="39" t="str"/>
    </x:row>
    <x:row r="38">
      <x:c r="A38" s="45" t="str">
        <x:v>IR-030</x:v>
      </x:c>
      <x:c r="B38" s="39" t="str"/>
      <x:c r="C38" s="39" t="str"/>
      <x:c r="D38" s="39" t="str"/>
      <x:c r="E38" s="39" t="str"/>
      <x:c r="F38" s="39" t="str"/>
      <x:c r="G38" s="39" t="str"/>
      <x:c r="H38" s="39" t="str"/>
      <x:c r="I38" s="39" t="str"/>
      <x:c r="J38" s="39" t="str"/>
      <x:c r="K38" s="45" t="str"/>
      <x:c r="L38" s="45" t="str"/>
      <x:c r="M38" s="45" t="str"/>
      <x:c r="N38" s="43"/>
      <x:c r="O38" s="43"/>
      <x:c r="P38" s="45" t="str"/>
      <x:c r="Q38" s="45"/>
      <x:c r="R38" s="39" t="str"/>
      <x:c r="S38" s="39" t="str"/>
      <x:c r="T38" s="39" t="str"/>
      <x:c r="U38" s="43"/>
      <x:c r="V38" s="45" t="str">
        <x:v>Open</x:v>
      </x:c>
      <x:c r="W38" s="45" t="str">
        <x:f>IF(D38="","",IF(M38="Not Applicable","N/A",IF(AND(M38="Ready",P38="Pass",OR(V38="",V38="Completed",V38="Accepted"),OR(U38="",U38&gt;=TODAY())),"Ready","Attention Required")))</x:f>
      </x:c>
      <x:c r="X38" s="39" t="str"/>
    </x:row>
    <x:row r="39">
      <x:c r="A39" s="45" t="str">
        <x:v>IR-031</x:v>
      </x:c>
      <x:c r="B39" s="39" t="str"/>
      <x:c r="C39" s="39" t="str"/>
      <x:c r="D39" s="39" t="str"/>
      <x:c r="E39" s="39" t="str"/>
      <x:c r="F39" s="39" t="str"/>
      <x:c r="G39" s="39" t="str"/>
      <x:c r="H39" s="39" t="str"/>
      <x:c r="I39" s="39" t="str"/>
      <x:c r="J39" s="39" t="str"/>
      <x:c r="K39" s="45" t="str"/>
      <x:c r="L39" s="45" t="str"/>
      <x:c r="M39" s="45" t="str"/>
      <x:c r="N39" s="43"/>
      <x:c r="O39" s="43"/>
      <x:c r="P39" s="45" t="str"/>
      <x:c r="Q39" s="45"/>
      <x:c r="R39" s="39" t="str"/>
      <x:c r="S39" s="39" t="str"/>
      <x:c r="T39" s="39" t="str"/>
      <x:c r="U39" s="43"/>
      <x:c r="V39" s="45" t="str">
        <x:v>Open</x:v>
      </x:c>
      <x:c r="W39" s="45" t="str">
        <x:f>IF(D39="","",IF(M39="Not Applicable","N/A",IF(AND(M39="Ready",P39="Pass",OR(V39="",V39="Completed",V39="Accepted"),OR(U39="",U39&gt;=TODAY())),"Ready","Attention Required")))</x:f>
      </x:c>
      <x:c r="X39" s="39" t="str"/>
    </x:row>
    <x:row r="40">
      <x:c r="A40" s="45" t="str">
        <x:v>IR-032</x:v>
      </x:c>
      <x:c r="B40" s="39" t="str"/>
      <x:c r="C40" s="39" t="str"/>
      <x:c r="D40" s="39" t="str"/>
      <x:c r="E40" s="39" t="str"/>
      <x:c r="F40" s="39" t="str"/>
      <x:c r="G40" s="39" t="str"/>
      <x:c r="H40" s="39" t="str"/>
      <x:c r="I40" s="39" t="str"/>
      <x:c r="J40" s="39" t="str"/>
      <x:c r="K40" s="45" t="str"/>
      <x:c r="L40" s="45" t="str"/>
      <x:c r="M40" s="45" t="str"/>
      <x:c r="N40" s="43"/>
      <x:c r="O40" s="43"/>
      <x:c r="P40" s="45" t="str"/>
      <x:c r="Q40" s="45"/>
      <x:c r="R40" s="39" t="str"/>
      <x:c r="S40" s="39" t="str"/>
      <x:c r="T40" s="39" t="str"/>
      <x:c r="U40" s="43"/>
      <x:c r="V40" s="45" t="str">
        <x:v>Open</x:v>
      </x:c>
      <x:c r="W40" s="45" t="str">
        <x:f>IF(D40="","",IF(M40="Not Applicable","N/A",IF(AND(M40="Ready",P40="Pass",OR(V40="",V40="Completed",V40="Accepted"),OR(U40="",U40&gt;=TODAY())),"Ready","Attention Required")))</x:f>
      </x:c>
      <x:c r="X40" s="39" t="str"/>
    </x:row>
    <x:row r="41">
      <x:c r="A41" s="45" t="str">
        <x:v>IR-033</x:v>
      </x:c>
      <x:c r="B41" s="39" t="str"/>
      <x:c r="C41" s="39" t="str"/>
      <x:c r="D41" s="39" t="str"/>
      <x:c r="E41" s="39" t="str"/>
      <x:c r="F41" s="39" t="str"/>
      <x:c r="G41" s="39" t="str"/>
      <x:c r="H41" s="39" t="str"/>
      <x:c r="I41" s="39" t="str"/>
      <x:c r="J41" s="39" t="str"/>
      <x:c r="K41" s="45" t="str"/>
      <x:c r="L41" s="45" t="str"/>
      <x:c r="M41" s="45" t="str"/>
      <x:c r="N41" s="43"/>
      <x:c r="O41" s="43"/>
      <x:c r="P41" s="45" t="str"/>
      <x:c r="Q41" s="45"/>
      <x:c r="R41" s="39" t="str"/>
      <x:c r="S41" s="39" t="str"/>
      <x:c r="T41" s="39" t="str"/>
      <x:c r="U41" s="43"/>
      <x:c r="V41" s="45" t="str">
        <x:v>Open</x:v>
      </x:c>
      <x:c r="W41" s="45" t="str">
        <x:f>IF(D41="","",IF(M41="Not Applicable","N/A",IF(AND(M41="Ready",P41="Pass",OR(V41="",V41="Completed",V41="Accepted"),OR(U41="",U41&gt;=TODAY())),"Ready","Attention Required")))</x:f>
      </x:c>
      <x:c r="X41" s="39" t="str"/>
    </x:row>
    <x:row r="42">
      <x:c r="A42" s="45" t="str">
        <x:v>IR-034</x:v>
      </x:c>
      <x:c r="B42" s="39" t="str"/>
      <x:c r="C42" s="39" t="str"/>
      <x:c r="D42" s="39" t="str"/>
      <x:c r="E42" s="39" t="str"/>
      <x:c r="F42" s="39" t="str"/>
      <x:c r="G42" s="39" t="str"/>
      <x:c r="H42" s="39" t="str"/>
      <x:c r="I42" s="39" t="str"/>
      <x:c r="J42" s="39" t="str"/>
      <x:c r="K42" s="45" t="str"/>
      <x:c r="L42" s="45" t="str"/>
      <x:c r="M42" s="45" t="str"/>
      <x:c r="N42" s="43"/>
      <x:c r="O42" s="43"/>
      <x:c r="P42" s="45" t="str"/>
      <x:c r="Q42" s="45"/>
      <x:c r="R42" s="39" t="str"/>
      <x:c r="S42" s="39" t="str"/>
      <x:c r="T42" s="39" t="str"/>
      <x:c r="U42" s="43"/>
      <x:c r="V42" s="45" t="str">
        <x:v>Open</x:v>
      </x:c>
      <x:c r="W42" s="45" t="str">
        <x:f>IF(D42="","",IF(M42="Not Applicable","N/A",IF(AND(M42="Ready",P42="Pass",OR(V42="",V42="Completed",V42="Accepted"),OR(U42="",U42&gt;=TODAY())),"Ready","Attention Required")))</x:f>
      </x:c>
      <x:c r="X42" s="39" t="str"/>
    </x:row>
    <x:row r="43">
      <x:c r="A43" s="45" t="str">
        <x:v>IR-035</x:v>
      </x:c>
      <x:c r="B43" s="39" t="str"/>
      <x:c r="C43" s="39" t="str"/>
      <x:c r="D43" s="39" t="str"/>
      <x:c r="E43" s="39" t="str"/>
      <x:c r="F43" s="39" t="str"/>
      <x:c r="G43" s="39" t="str"/>
      <x:c r="H43" s="39" t="str"/>
      <x:c r="I43" s="39" t="str"/>
      <x:c r="J43" s="39" t="str"/>
      <x:c r="K43" s="45" t="str"/>
      <x:c r="L43" s="45" t="str"/>
      <x:c r="M43" s="45" t="str"/>
      <x:c r="N43" s="43"/>
      <x:c r="O43" s="43"/>
      <x:c r="P43" s="45" t="str"/>
      <x:c r="Q43" s="45"/>
      <x:c r="R43" s="39" t="str"/>
      <x:c r="S43" s="39" t="str"/>
      <x:c r="T43" s="39" t="str"/>
      <x:c r="U43" s="43"/>
      <x:c r="V43" s="45" t="str">
        <x:v>Open</x:v>
      </x:c>
      <x:c r="W43" s="45" t="str">
        <x:f>IF(D43="","",IF(M43="Not Applicable","N/A",IF(AND(M43="Ready",P43="Pass",OR(V43="",V43="Completed",V43="Accepted"),OR(U43="",U43&gt;=TODAY())),"Ready","Attention Required")))</x:f>
      </x:c>
      <x:c r="X43" s="39" t="str"/>
    </x:row>
    <x:row r="44">
      <x:c r="A44" s="45" t="str">
        <x:v>IR-036</x:v>
      </x:c>
      <x:c r="B44" s="39" t="str"/>
      <x:c r="C44" s="39" t="str"/>
      <x:c r="D44" s="39" t="str"/>
      <x:c r="E44" s="39" t="str"/>
      <x:c r="F44" s="39" t="str"/>
      <x:c r="G44" s="39" t="str"/>
      <x:c r="H44" s="39" t="str"/>
      <x:c r="I44" s="39" t="str"/>
      <x:c r="J44" s="39" t="str"/>
      <x:c r="K44" s="45" t="str"/>
      <x:c r="L44" s="45" t="str"/>
      <x:c r="M44" s="45" t="str"/>
      <x:c r="N44" s="43"/>
      <x:c r="O44" s="43"/>
      <x:c r="P44" s="45" t="str"/>
      <x:c r="Q44" s="45"/>
      <x:c r="R44" s="39" t="str"/>
      <x:c r="S44" s="39" t="str"/>
      <x:c r="T44" s="39" t="str"/>
      <x:c r="U44" s="43"/>
      <x:c r="V44" s="45" t="str">
        <x:v>Open</x:v>
      </x:c>
      <x:c r="W44" s="45" t="str">
        <x:f>IF(D44="","",IF(M44="Not Applicable","N/A",IF(AND(M44="Ready",P44="Pass",OR(V44="",V44="Completed",V44="Accepted"),OR(U44="",U44&gt;=TODAY())),"Ready","Attention Required")))</x:f>
      </x:c>
      <x:c r="X44" s="39" t="str"/>
    </x:row>
    <x:row r="45">
      <x:c r="A45" s="45" t="str">
        <x:v>IR-037</x:v>
      </x:c>
      <x:c r="B45" s="39" t="str"/>
      <x:c r="C45" s="39" t="str"/>
      <x:c r="D45" s="39" t="str"/>
      <x:c r="E45" s="39" t="str"/>
      <x:c r="F45" s="39" t="str"/>
      <x:c r="G45" s="39" t="str"/>
      <x:c r="H45" s="39" t="str"/>
      <x:c r="I45" s="39" t="str"/>
      <x:c r="J45" s="39" t="str"/>
      <x:c r="K45" s="45" t="str"/>
      <x:c r="L45" s="45" t="str"/>
      <x:c r="M45" s="45" t="str"/>
      <x:c r="N45" s="43"/>
      <x:c r="O45" s="43"/>
      <x:c r="P45" s="45" t="str"/>
      <x:c r="Q45" s="45"/>
      <x:c r="R45" s="39" t="str"/>
      <x:c r="S45" s="39" t="str"/>
      <x:c r="T45" s="39" t="str"/>
      <x:c r="U45" s="43"/>
      <x:c r="V45" s="45" t="str">
        <x:v>Open</x:v>
      </x:c>
      <x:c r="W45" s="45" t="str">
        <x:f>IF(D45="","",IF(M45="Not Applicable","N/A",IF(AND(M45="Ready",P45="Pass",OR(V45="",V45="Completed",V45="Accepted"),OR(U45="",U45&gt;=TODAY())),"Ready","Attention Required")))</x:f>
      </x:c>
      <x:c r="X45" s="39" t="str"/>
    </x:row>
    <x:row r="46">
      <x:c r="A46" s="45" t="str">
        <x:v>IR-038</x:v>
      </x:c>
      <x:c r="B46" s="39" t="str"/>
      <x:c r="C46" s="39" t="str"/>
      <x:c r="D46" s="39" t="str"/>
      <x:c r="E46" s="39" t="str"/>
      <x:c r="F46" s="39" t="str"/>
      <x:c r="G46" s="39" t="str"/>
      <x:c r="H46" s="39" t="str"/>
      <x:c r="I46" s="39" t="str"/>
      <x:c r="J46" s="39" t="str"/>
      <x:c r="K46" s="45" t="str"/>
      <x:c r="L46" s="45" t="str"/>
      <x:c r="M46" s="45" t="str"/>
      <x:c r="N46" s="43"/>
      <x:c r="O46" s="43"/>
      <x:c r="P46" s="45" t="str"/>
      <x:c r="Q46" s="45"/>
      <x:c r="R46" s="39" t="str"/>
      <x:c r="S46" s="39" t="str"/>
      <x:c r="T46" s="39" t="str"/>
      <x:c r="U46" s="43"/>
      <x:c r="V46" s="45" t="str">
        <x:v>Open</x:v>
      </x:c>
      <x:c r="W46" s="45" t="str">
        <x:f>IF(D46="","",IF(M46="Not Applicable","N/A",IF(AND(M46="Ready",P46="Pass",OR(V46="",V46="Completed",V46="Accepted"),OR(U46="",U46&gt;=TODAY())),"Ready","Attention Required")))</x:f>
      </x:c>
      <x:c r="X46" s="39" t="str"/>
    </x:row>
    <x:row r="47">
      <x:c r="A47" s="45" t="str">
        <x:v>IR-039</x:v>
      </x:c>
      <x:c r="B47" s="39" t="str"/>
      <x:c r="C47" s="39" t="str"/>
      <x:c r="D47" s="39" t="str"/>
      <x:c r="E47" s="39" t="str"/>
      <x:c r="F47" s="39" t="str"/>
      <x:c r="G47" s="39" t="str"/>
      <x:c r="H47" s="39" t="str"/>
      <x:c r="I47" s="39" t="str"/>
      <x:c r="J47" s="39" t="str"/>
      <x:c r="K47" s="45" t="str"/>
      <x:c r="L47" s="45" t="str"/>
      <x:c r="M47" s="45" t="str"/>
      <x:c r="N47" s="43"/>
      <x:c r="O47" s="43"/>
      <x:c r="P47" s="45" t="str"/>
      <x:c r="Q47" s="45"/>
      <x:c r="R47" s="39" t="str"/>
      <x:c r="S47" s="39" t="str"/>
      <x:c r="T47" s="39" t="str"/>
      <x:c r="U47" s="43"/>
      <x:c r="V47" s="45" t="str">
        <x:v>Open</x:v>
      </x:c>
      <x:c r="W47" s="45" t="str">
        <x:f>IF(D47="","",IF(M47="Not Applicable","N/A",IF(AND(M47="Ready",P47="Pass",OR(V47="",V47="Completed",V47="Accepted"),OR(U47="",U47&gt;=TODAY())),"Ready","Attention Required")))</x:f>
      </x:c>
      <x:c r="X47" s="39" t="str"/>
    </x:row>
    <x:row r="48">
      <x:c r="A48" s="45" t="str">
        <x:v>IR-040</x:v>
      </x:c>
      <x:c r="B48" s="39" t="str"/>
      <x:c r="C48" s="39" t="str"/>
      <x:c r="D48" s="39" t="str"/>
      <x:c r="E48" s="39" t="str"/>
      <x:c r="F48" s="39" t="str"/>
      <x:c r="G48" s="39" t="str"/>
      <x:c r="H48" s="39" t="str"/>
      <x:c r="I48" s="39" t="str"/>
      <x:c r="J48" s="39" t="str"/>
      <x:c r="K48" s="45" t="str"/>
      <x:c r="L48" s="45" t="str"/>
      <x:c r="M48" s="45" t="str"/>
      <x:c r="N48" s="43"/>
      <x:c r="O48" s="43"/>
      <x:c r="P48" s="45" t="str"/>
      <x:c r="Q48" s="45"/>
      <x:c r="R48" s="39" t="str"/>
      <x:c r="S48" s="39" t="str"/>
      <x:c r="T48" s="39" t="str"/>
      <x:c r="U48" s="43"/>
      <x:c r="V48" s="45" t="str">
        <x:v>Open</x:v>
      </x:c>
      <x:c r="W48" s="45" t="str">
        <x:f>IF(D48="","",IF(M48="Not Applicable","N/A",IF(AND(M48="Ready",P48="Pass",OR(V48="",V48="Completed",V48="Accepted"),OR(U48="",U48&gt;=TODAY())),"Ready","Attention Required")))</x:f>
      </x:c>
      <x:c r="X48" s="39" t="str"/>
    </x:row>
    <x:row r="49">
      <x:c r="A49" s="45" t="str">
        <x:v>IR-041</x:v>
      </x:c>
      <x:c r="B49" s="39" t="str"/>
      <x:c r="C49" s="39" t="str"/>
      <x:c r="D49" s="39" t="str"/>
      <x:c r="E49" s="39" t="str"/>
      <x:c r="F49" s="39" t="str"/>
      <x:c r="G49" s="39" t="str"/>
      <x:c r="H49" s="39" t="str"/>
      <x:c r="I49" s="39" t="str"/>
      <x:c r="J49" s="39" t="str"/>
      <x:c r="K49" s="45" t="str"/>
      <x:c r="L49" s="45" t="str"/>
      <x:c r="M49" s="45" t="str"/>
      <x:c r="N49" s="43"/>
      <x:c r="O49" s="43"/>
      <x:c r="P49" s="45" t="str"/>
      <x:c r="Q49" s="45"/>
      <x:c r="R49" s="39" t="str"/>
      <x:c r="S49" s="39" t="str"/>
      <x:c r="T49" s="39" t="str"/>
      <x:c r="U49" s="43"/>
      <x:c r="V49" s="45" t="str">
        <x:v>Open</x:v>
      </x:c>
      <x:c r="W49" s="45" t="str">
        <x:f>IF(D49="","",IF(M49="Not Applicable","N/A",IF(AND(M49="Ready",P49="Pass",OR(V49="",V49="Completed",V49="Accepted"),OR(U49="",U49&gt;=TODAY())),"Ready","Attention Required")))</x:f>
      </x:c>
      <x:c r="X49" s="39" t="str"/>
    </x:row>
    <x:row r="50">
      <x:c r="A50" s="45" t="str">
        <x:v>IR-042</x:v>
      </x:c>
      <x:c r="B50" s="39" t="str"/>
      <x:c r="C50" s="39" t="str"/>
      <x:c r="D50" s="39" t="str"/>
      <x:c r="E50" s="39" t="str"/>
      <x:c r="F50" s="39" t="str"/>
      <x:c r="G50" s="39" t="str"/>
      <x:c r="H50" s="39" t="str"/>
      <x:c r="I50" s="39" t="str"/>
      <x:c r="J50" s="39" t="str"/>
      <x:c r="K50" s="45" t="str"/>
      <x:c r="L50" s="45" t="str"/>
      <x:c r="M50" s="45" t="str"/>
      <x:c r="N50" s="43"/>
      <x:c r="O50" s="43"/>
      <x:c r="P50" s="45" t="str"/>
      <x:c r="Q50" s="45"/>
      <x:c r="R50" s="39" t="str"/>
      <x:c r="S50" s="39" t="str"/>
      <x:c r="T50" s="39" t="str"/>
      <x:c r="U50" s="43"/>
      <x:c r="V50" s="45" t="str">
        <x:v>Open</x:v>
      </x:c>
      <x:c r="W50" s="45" t="str">
        <x:f>IF(D50="","",IF(M50="Not Applicable","N/A",IF(AND(M50="Ready",P50="Pass",OR(V50="",V50="Completed",V50="Accepted"),OR(U50="",U50&gt;=TODAY())),"Ready","Attention Required")))</x:f>
      </x:c>
      <x:c r="X50" s="39" t="str"/>
    </x:row>
    <x:row r="51">
      <x:c r="A51" s="45" t="str">
        <x:v>IR-043</x:v>
      </x:c>
      <x:c r="B51" s="39" t="str"/>
      <x:c r="C51" s="39" t="str"/>
      <x:c r="D51" s="39" t="str"/>
      <x:c r="E51" s="39" t="str"/>
      <x:c r="F51" s="39" t="str"/>
      <x:c r="G51" s="39" t="str"/>
      <x:c r="H51" s="39" t="str"/>
      <x:c r="I51" s="39" t="str"/>
      <x:c r="J51" s="39" t="str"/>
      <x:c r="K51" s="45" t="str"/>
      <x:c r="L51" s="45" t="str"/>
      <x:c r="M51" s="45" t="str"/>
      <x:c r="N51" s="43"/>
      <x:c r="O51" s="43"/>
      <x:c r="P51" s="45" t="str"/>
      <x:c r="Q51" s="45"/>
      <x:c r="R51" s="39" t="str"/>
      <x:c r="S51" s="39" t="str"/>
      <x:c r="T51" s="39" t="str"/>
      <x:c r="U51" s="43"/>
      <x:c r="V51" s="45" t="str">
        <x:v>Open</x:v>
      </x:c>
      <x:c r="W51" s="45" t="str">
        <x:f>IF(D51="","",IF(M51="Not Applicable","N/A",IF(AND(M51="Ready",P51="Pass",OR(V51="",V51="Completed",V51="Accepted"),OR(U51="",U51&gt;=TODAY())),"Ready","Attention Required")))</x:f>
      </x:c>
      <x:c r="X51" s="39" t="str"/>
    </x:row>
    <x:row r="52">
      <x:c r="A52" s="45" t="str">
        <x:v>IR-044</x:v>
      </x:c>
      <x:c r="B52" s="39" t="str"/>
      <x:c r="C52" s="39" t="str"/>
      <x:c r="D52" s="39" t="str"/>
      <x:c r="E52" s="39" t="str"/>
      <x:c r="F52" s="39" t="str"/>
      <x:c r="G52" s="39" t="str"/>
      <x:c r="H52" s="39" t="str"/>
      <x:c r="I52" s="39" t="str"/>
      <x:c r="J52" s="39" t="str"/>
      <x:c r="K52" s="45" t="str"/>
      <x:c r="L52" s="45" t="str"/>
      <x:c r="M52" s="45" t="str"/>
      <x:c r="N52" s="43"/>
      <x:c r="O52" s="43"/>
      <x:c r="P52" s="45" t="str"/>
      <x:c r="Q52" s="45"/>
      <x:c r="R52" s="39" t="str"/>
      <x:c r="S52" s="39" t="str"/>
      <x:c r="T52" s="39" t="str"/>
      <x:c r="U52" s="43"/>
      <x:c r="V52" s="45" t="str">
        <x:v>Open</x:v>
      </x:c>
      <x:c r="W52" s="45" t="str">
        <x:f>IF(D52="","",IF(M52="Not Applicable","N/A",IF(AND(M52="Ready",P52="Pass",OR(V52="",V52="Completed",V52="Accepted"),OR(U52="",U52&gt;=TODAY())),"Ready","Attention Required")))</x:f>
      </x:c>
      <x:c r="X52" s="39" t="str"/>
    </x:row>
    <x:row r="53">
      <x:c r="A53" s="45" t="str">
        <x:v>IR-045</x:v>
      </x:c>
      <x:c r="B53" s="39" t="str"/>
      <x:c r="C53" s="39" t="str"/>
      <x:c r="D53" s="39" t="str"/>
      <x:c r="E53" s="39" t="str"/>
      <x:c r="F53" s="39" t="str"/>
      <x:c r="G53" s="39" t="str"/>
      <x:c r="H53" s="39" t="str"/>
      <x:c r="I53" s="39" t="str"/>
      <x:c r="J53" s="39" t="str"/>
      <x:c r="K53" s="45" t="str"/>
      <x:c r="L53" s="45" t="str"/>
      <x:c r="M53" s="45" t="str"/>
      <x:c r="N53" s="43"/>
      <x:c r="O53" s="43"/>
      <x:c r="P53" s="45" t="str"/>
      <x:c r="Q53" s="45"/>
      <x:c r="R53" s="39" t="str"/>
      <x:c r="S53" s="39" t="str"/>
      <x:c r="T53" s="39" t="str"/>
      <x:c r="U53" s="43"/>
      <x:c r="V53" s="45" t="str">
        <x:v>Open</x:v>
      </x:c>
      <x:c r="W53" s="45" t="str">
        <x:f>IF(D53="","",IF(M53="Not Applicable","N/A",IF(AND(M53="Ready",P53="Pass",OR(V53="",V53="Completed",V53="Accepted"),OR(U53="",U53&gt;=TODAY())),"Ready","Attention Required")))</x:f>
      </x:c>
      <x:c r="X53" s="39" t="str"/>
    </x:row>
    <x:row r="54">
      <x:c r="A54" s="45" t="str">
        <x:v>IR-046</x:v>
      </x:c>
      <x:c r="B54" s="39" t="str"/>
      <x:c r="C54" s="39" t="str"/>
      <x:c r="D54" s="39" t="str"/>
      <x:c r="E54" s="39" t="str"/>
      <x:c r="F54" s="39" t="str"/>
      <x:c r="G54" s="39" t="str"/>
      <x:c r="H54" s="39" t="str"/>
      <x:c r="I54" s="39" t="str"/>
      <x:c r="J54" s="39" t="str"/>
      <x:c r="K54" s="45" t="str"/>
      <x:c r="L54" s="45" t="str"/>
      <x:c r="M54" s="45" t="str"/>
      <x:c r="N54" s="43"/>
      <x:c r="O54" s="43"/>
      <x:c r="P54" s="45" t="str"/>
      <x:c r="Q54" s="45"/>
      <x:c r="R54" s="39" t="str"/>
      <x:c r="S54" s="39" t="str"/>
      <x:c r="T54" s="39" t="str"/>
      <x:c r="U54" s="43"/>
      <x:c r="V54" s="45" t="str">
        <x:v>Open</x:v>
      </x:c>
      <x:c r="W54" s="45" t="str">
        <x:f>IF(D54="","",IF(M54="Not Applicable","N/A",IF(AND(M54="Ready",P54="Pass",OR(V54="",V54="Completed",V54="Accepted"),OR(U54="",U54&gt;=TODAY())),"Ready","Attention Required")))</x:f>
      </x:c>
      <x:c r="X54" s="39" t="str"/>
    </x:row>
    <x:row r="55">
      <x:c r="A55" s="45" t="str">
        <x:v>IR-047</x:v>
      </x:c>
      <x:c r="B55" s="39" t="str"/>
      <x:c r="C55" s="39" t="str"/>
      <x:c r="D55" s="39" t="str"/>
      <x:c r="E55" s="39" t="str"/>
      <x:c r="F55" s="39" t="str"/>
      <x:c r="G55" s="39" t="str"/>
      <x:c r="H55" s="39" t="str"/>
      <x:c r="I55" s="39" t="str"/>
      <x:c r="J55" s="39" t="str"/>
      <x:c r="K55" s="45" t="str"/>
      <x:c r="L55" s="45" t="str"/>
      <x:c r="M55" s="45" t="str"/>
      <x:c r="N55" s="43"/>
      <x:c r="O55" s="43"/>
      <x:c r="P55" s="45" t="str"/>
      <x:c r="Q55" s="45"/>
      <x:c r="R55" s="39" t="str"/>
      <x:c r="S55" s="39" t="str"/>
      <x:c r="T55" s="39" t="str"/>
      <x:c r="U55" s="43"/>
      <x:c r="V55" s="45" t="str">
        <x:v>Open</x:v>
      </x:c>
      <x:c r="W55" s="45" t="str">
        <x:f>IF(D55="","",IF(M55="Not Applicable","N/A",IF(AND(M55="Ready",P55="Pass",OR(V55="",V55="Completed",V55="Accepted"),OR(U55="",U55&gt;=TODAY())),"Ready","Attention Required")))</x:f>
      </x:c>
      <x:c r="X55" s="39" t="str"/>
    </x:row>
    <x:row r="56">
      <x:c r="A56" s="45" t="str">
        <x:v>IR-048</x:v>
      </x:c>
      <x:c r="B56" s="39" t="str"/>
      <x:c r="C56" s="39" t="str"/>
      <x:c r="D56" s="39" t="str"/>
      <x:c r="E56" s="39" t="str"/>
      <x:c r="F56" s="39" t="str"/>
      <x:c r="G56" s="39" t="str"/>
      <x:c r="H56" s="39" t="str"/>
      <x:c r="I56" s="39" t="str"/>
      <x:c r="J56" s="39" t="str"/>
      <x:c r="K56" s="45" t="str"/>
      <x:c r="L56" s="45" t="str"/>
      <x:c r="M56" s="45" t="str"/>
      <x:c r="N56" s="43"/>
      <x:c r="O56" s="43"/>
      <x:c r="P56" s="45" t="str"/>
      <x:c r="Q56" s="45"/>
      <x:c r="R56" s="39" t="str"/>
      <x:c r="S56" s="39" t="str"/>
      <x:c r="T56" s="39" t="str"/>
      <x:c r="U56" s="43"/>
      <x:c r="V56" s="45" t="str">
        <x:v>Open</x:v>
      </x:c>
      <x:c r="W56" s="45" t="str">
        <x:f>IF(D56="","",IF(M56="Not Applicable","N/A",IF(AND(M56="Ready",P56="Pass",OR(V56="",V56="Completed",V56="Accepted"),OR(U56="",U56&gt;=TODAY())),"Ready","Attention Required")))</x:f>
      </x:c>
      <x:c r="X56" s="39" t="str"/>
    </x:row>
    <x:row r="57">
      <x:c r="A57" s="45" t="str">
        <x:v>IR-049</x:v>
      </x:c>
      <x:c r="B57" s="39" t="str"/>
      <x:c r="C57" s="39" t="str"/>
      <x:c r="D57" s="39" t="str"/>
      <x:c r="E57" s="39" t="str"/>
      <x:c r="F57" s="39" t="str"/>
      <x:c r="G57" s="39" t="str"/>
      <x:c r="H57" s="39" t="str"/>
      <x:c r="I57" s="39" t="str"/>
      <x:c r="J57" s="39" t="str"/>
      <x:c r="K57" s="45" t="str"/>
      <x:c r="L57" s="45" t="str"/>
      <x:c r="M57" s="45" t="str"/>
      <x:c r="N57" s="43"/>
      <x:c r="O57" s="43"/>
      <x:c r="P57" s="45" t="str"/>
      <x:c r="Q57" s="45"/>
      <x:c r="R57" s="39" t="str"/>
      <x:c r="S57" s="39" t="str"/>
      <x:c r="T57" s="39" t="str"/>
      <x:c r="U57" s="43"/>
      <x:c r="V57" s="45" t="str">
        <x:v>Open</x:v>
      </x:c>
      <x:c r="W57" s="45" t="str">
        <x:f>IF(D57="","",IF(M57="Not Applicable","N/A",IF(AND(M57="Ready",P57="Pass",OR(V57="",V57="Completed",V57="Accepted"),OR(U57="",U57&gt;=TODAY())),"Ready","Attention Required")))</x:f>
      </x:c>
      <x:c r="X57" s="39" t="str"/>
    </x:row>
    <x:row r="58">
      <x:c r="A58" s="45" t="str">
        <x:v>IR-050</x:v>
      </x:c>
      <x:c r="B58" s="39" t="str"/>
      <x:c r="C58" s="39" t="str"/>
      <x:c r="D58" s="39" t="str"/>
      <x:c r="E58" s="39" t="str"/>
      <x:c r="F58" s="39" t="str"/>
      <x:c r="G58" s="39" t="str"/>
      <x:c r="H58" s="39" t="str"/>
      <x:c r="I58" s="39" t="str"/>
      <x:c r="J58" s="39" t="str"/>
      <x:c r="K58" s="45" t="str"/>
      <x:c r="L58" s="45" t="str"/>
      <x:c r="M58" s="45" t="str"/>
      <x:c r="N58" s="43"/>
      <x:c r="O58" s="43"/>
      <x:c r="P58" s="45" t="str"/>
      <x:c r="Q58" s="45"/>
      <x:c r="R58" s="39" t="str"/>
      <x:c r="S58" s="39" t="str"/>
      <x:c r="T58" s="39" t="str"/>
      <x:c r="U58" s="43"/>
      <x:c r="V58" s="45" t="str">
        <x:v>Open</x:v>
      </x:c>
      <x:c r="W58" s="45" t="str">
        <x:f>IF(D58="","",IF(M58="Not Applicable","N/A",IF(AND(M58="Ready",P58="Pass",OR(V58="",V58="Completed",V58="Accepted"),OR(U58="",U58&gt;=TODAY())),"Ready","Attention Required")))</x:f>
      </x:c>
      <x:c r="X58" s="39" t="str"/>
    </x:row>
    <x:row r="60" ht="22" customHeight="1">
      <x:c r="A60" s="49" t="str">
        <x:v>IMPORTANT USE NOTE  |  This index is an educational and professional working aid, not regulatory advice or a site-approved controlled template. Adapt, verify and approve it through your own Pharmaceutical Quality System before use. © 2026 ValiStera Solutions. Redistribution, resale, rebranding or removal of ValiStera identification without written permission is prohibited.</x:v>
      </x:c>
      <x:c r="B60" s="49"/>
      <x:c r="C60" s="49"/>
      <x:c r="D60" s="49"/>
      <x:c r="E60" s="49"/>
      <x:c r="F60" s="49"/>
      <x:c r="G60" s="49"/>
      <x:c r="H60" s="49"/>
      <x:c r="I60" s="49"/>
      <x:c r="J60" s="49"/>
      <x:c r="K60" s="49"/>
      <x:c r="L60" s="49"/>
      <x:c r="M60" s="49"/>
      <x:c r="N60" s="49"/>
      <x:c r="O60" s="49"/>
      <x:c r="P60" s="49"/>
      <x:c r="Q60" s="49"/>
      <x:c r="R60" s="49"/>
      <x:c r="S60" s="49"/>
      <x:c r="T60" s="49"/>
      <x:c r="U60" s="49"/>
      <x:c r="V60" s="49"/>
      <x:c r="W60" s="49"/>
      <x:c r="X60" s="49"/>
    </x:row>
    <x:row r="61" ht="22" customHeight="1">
      <x:c r="A61" s="49"/>
      <x:c r="B61" s="49"/>
      <x:c r="C61" s="49"/>
      <x:c r="D61" s="49"/>
      <x:c r="E61" s="49"/>
      <x:c r="F61" s="49"/>
      <x:c r="G61" s="49"/>
      <x:c r="H61" s="49"/>
      <x:c r="I61" s="49"/>
      <x:c r="J61" s="49"/>
      <x:c r="K61" s="49"/>
      <x:c r="L61" s="49"/>
      <x:c r="M61" s="49"/>
      <x:c r="N61" s="49"/>
      <x:c r="O61" s="49"/>
      <x:c r="P61" s="49"/>
      <x:c r="Q61" s="49"/>
      <x:c r="R61" s="49"/>
      <x:c r="S61" s="49"/>
      <x:c r="T61" s="49"/>
      <x:c r="U61" s="49"/>
      <x:c r="V61" s="49"/>
      <x:c r="W61" s="49"/>
      <x:c r="X61" s="49"/>
    </x:row>
    <x:row r="62" ht="22" customHeight="1">
      <x:c r="A62" s="49"/>
      <x:c r="B62" s="49"/>
      <x:c r="C62" s="49"/>
      <x:c r="D62" s="49"/>
      <x:c r="E62" s="49"/>
      <x:c r="F62" s="49"/>
      <x:c r="G62" s="49"/>
      <x:c r="H62" s="49"/>
      <x:c r="I62" s="49"/>
      <x:c r="J62" s="49"/>
      <x:c r="K62" s="49"/>
      <x:c r="L62" s="49"/>
      <x:c r="M62" s="49"/>
      <x:c r="N62" s="49"/>
      <x:c r="O62" s="49"/>
      <x:c r="P62" s="49"/>
      <x:c r="Q62" s="49"/>
      <x:c r="R62" s="49"/>
      <x:c r="S62" s="49"/>
      <x:c r="T62" s="49"/>
      <x:c r="U62" s="49"/>
      <x:c r="V62" s="49"/>
      <x:c r="W62" s="49"/>
      <x:c r="X62" s="49"/>
    </x:row>
    <x:row r="64">
      <x:c r="H64" s="55" t="str">
        <x:v>Vali</x:v>
      </x:c>
      <x:c r="I64" s="55"/>
      <x:c r="J64" s="55"/>
      <x:c r="K64" s="55"/>
      <x:c r="L64" s="55"/>
      <x:c r="M64" s="61" t="str">
        <x:v>Stera</x:v>
      </x:c>
      <x:c r="N64" s="61"/>
      <x:c r="O64" s="61"/>
      <x:c r="P64" s="61"/>
      <x:c r="Q64" s="61"/>
    </x:row>
    <x:row r="65">
      <x:c r="H65" s="55"/>
      <x:c r="I65" s="55"/>
      <x:c r="J65" s="55"/>
      <x:c r="K65" s="55"/>
      <x:c r="L65" s="55"/>
      <x:c r="M65" s="61"/>
      <x:c r="N65" s="61"/>
      <x:c r="O65" s="61"/>
      <x:c r="P65" s="61"/>
      <x:c r="Q65" s="61"/>
    </x:row>
    <x:row r="66">
      <x:c r="H66" s="55"/>
      <x:c r="I66" s="55"/>
      <x:c r="J66" s="55"/>
      <x:c r="K66" s="55"/>
      <x:c r="L66" s="55"/>
      <x:c r="M66" s="61"/>
      <x:c r="N66" s="61"/>
      <x:c r="O66" s="61"/>
      <x:c r="P66" s="61"/>
      <x:c r="Q66" s="61"/>
    </x:row>
    <x:row r="67">
      <x:c r="H67" s="55"/>
      <x:c r="I67" s="55"/>
      <x:c r="J67" s="55"/>
      <x:c r="K67" s="55"/>
      <x:c r="L67" s="55"/>
      <x:c r="M67" s="61"/>
      <x:c r="N67" s="61"/>
      <x:c r="O67" s="61"/>
      <x:c r="P67" s="61"/>
      <x:c r="Q67" s="61"/>
    </x:row>
  </x:sheetData>
  <x:mergeCells>
    <x:mergeCell ref="A1:X1"/>
    <x:mergeCell ref="A2:X2"/>
    <x:mergeCell ref="H4:X5"/>
    <x:mergeCell ref="A60:X62"/>
    <x:mergeCell ref="H64:L67"/>
    <x:mergeCell ref="M64:Q67"/>
  </x:mergeCells>
  <x:conditionalFormatting sqref="M9:M58">
    <x:cfRule type="expression" dxfId="0" priority="1">
      <x:formula>M9="Ready"</x:formula>
    </x:cfRule>
    <x:cfRule type="expression" dxfId="1" priority="2">
      <x:formula>M9="Needs Update"</x:formula>
    </x:cfRule>
    <x:cfRule type="expression" dxfId="2" priority="3">
      <x:formula>M9="Missing"</x:formula>
    </x:cfRule>
  </x:conditionalFormatting>
  <x:conditionalFormatting sqref="P9:P58">
    <x:cfRule type="expression" dxfId="3" priority="4">
      <x:formula>P9="Pass"</x:formula>
    </x:cfRule>
    <x:cfRule type="expression" dxfId="4" priority="5">
      <x:formula>P9="Fail"</x:formula>
    </x:cfRule>
  </x:conditionalFormatting>
  <x:conditionalFormatting sqref="W9:W58">
    <x:cfRule type="expression" dxfId="5" priority="6">
      <x:formula>W9="Ready"</x:formula>
    </x:cfRule>
    <x:cfRule type="expression" dxfId="6" priority="7">
      <x:formula>W9="Attention Required"</x:formula>
    </x:cfRule>
  </x:conditionalFormatting>
  <x:conditionalFormatting sqref="K9:K58">
    <x:cfRule type="expression" dxfId="7" priority="8">
      <x:formula>K9="Critical"</x:formula>
    </x:cfRule>
    <x:cfRule type="expression" dxfId="8" priority="9">
      <x:formula>K9="High"</x:formula>
    </x:cfRule>
  </x:conditionalFormatting>
  <x:conditionalFormatting sqref="U9:U58">
    <x:cfRule type="expression" dxfId="9" priority="10">
      <x:formula>AND(U9&lt;TODAY(),U9&lt;&gt;"",V9&lt;&gt;"Completed",V9&lt;&gt;"Accepted")</x:formula>
    </x:cfRule>
  </x:conditionalFormatting>
  <x:dataValidations count="5">
    <x:dataValidation type="list" sqref="K9:K58">
      <x:formula1>"Critical,High,Medium,Low"</x:formula1>
    </x:dataValidation>
    <x:dataValidation type="list" sqref="L9:L58">
      <x:formula1>"Core,Supporting,Reference"</x:formula1>
    </x:dataValidation>
    <x:dataValidation type="list" sqref="M9:M58">
      <x:formula1>"Ready,Needs Update,Missing,Not Applicable"</x:formula1>
    </x:dataValidation>
    <x:dataValidation type="list" sqref="P9:P58">
      <x:formula1>"Pass,Fail,Not Tested"</x:formula1>
    </x:dataValidation>
    <x:dataValidation type="list" sqref="V9:V58">
      <x:formula1>"Open,In Progress,Completed,Accepted"</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26" hidden="0" customWidth="1"/>
    <x:col min="2" max="2" width="14" hidden="0" customWidth="1"/>
    <x:col min="3" max="3" width="4" hidden="0" customWidth="1"/>
    <x:col min="4" max="4" width="24" hidden="0" customWidth="1"/>
    <x:col min="5" max="5" width="14" hidden="0" customWidth="1"/>
    <x:col min="6" max="6" width="4" hidden="0" customWidth="1"/>
    <x:col min="7" max="7" width="18" hidden="0" customWidth="1"/>
    <x:col min="8" max="8" width="14" hidden="0" customWidth="1"/>
    <x:col min="9" max="9" width="14" hidden="0" customWidth="1"/>
    <x:col min="10" max="10" width="14" hidden="0" customWidth="1"/>
  </x:cols>
  <x:sheetData>
    <x:row r="1" ht="30" customHeight="1">
      <x:c r="A1" s="3" t="str">
        <x:v>ValiStera  |  Inspection Readiness Dashboard</x:v>
      </x:c>
      <x:c r="B1" s="3"/>
      <x:c r="C1" s="3"/>
      <x:c r="D1" s="3"/>
      <x:c r="E1" s="3"/>
      <x:c r="F1" s="3"/>
      <x:c r="G1" s="3"/>
      <x:c r="H1" s="3"/>
      <x:c r="I1" s="3"/>
      <x:c r="J1" s="3"/>
    </x:row>
    <x:row r="3">
      <x:c r="A3" s="66" t="str">
        <x:v>KPI</x:v>
      </x:c>
      <x:c r="B3" s="66" t="str">
        <x:v>Value</x:v>
      </x:c>
      <x:c r="D3" s="66" t="str">
        <x:v>Control indicator</x:v>
      </x:c>
      <x:c r="E3" s="66" t="str">
        <x:v>Value</x:v>
      </x:c>
      <x:c r="G3" s="75" t="str">
        <x:v>Overall Evidence Readiness</x:v>
      </x:c>
      <x:c r="H3" s="75"/>
      <x:c r="I3" s="75"/>
      <x:c r="J3" s="75"/>
    </x:row>
    <x:row r="4">
      <x:c r="A4" s="69" t="str">
        <x:v>Total evidence items entered</x:v>
      </x:c>
      <x:c r="B4" s="71" t="n">
        <x:f>COUNTIF('Evidence Index'!D9:D58,"?*")</x:f>
        <x:v>0</x:v>
      </x:c>
      <x:c r="D4" s="69" t="str">
        <x:v>Critical evidence items</x:v>
      </x:c>
      <x:c r="E4" s="71" t="n">
        <x:f>COUNTIFS('Evidence Index'!D9:D58,"?*",'Evidence Index'!K9:K58,"Critical")</x:f>
        <x:v>0</x:v>
      </x:c>
      <x:c r="G4" s="82" t="str">
        <x:f>IF(B4=0,"",B8/B4)</x:f>
      </x:c>
      <x:c r="H4" s="82"/>
      <x:c r="I4" s="82"/>
      <x:c r="J4" s="82"/>
    </x:row>
    <x:row r="5">
      <x:c r="A5" s="69" t="str">
        <x:v>Evidence ready</x:v>
      </x:c>
      <x:c r="B5" s="71" t="n">
        <x:f>COUNTIFS('Evidence Index'!D9:D58,"?*",'Evidence Index'!M9:M58,"Ready")</x:f>
        <x:v>0</x:v>
      </x:c>
      <x:c r="D5" s="69" t="str">
        <x:v>Failed retrieval tests</x:v>
      </x:c>
      <x:c r="E5" s="71" t="n">
        <x:f>COUNTIFS('Evidence Index'!D9:D58,"?*",'Evidence Index'!P9:P58,"Fail")</x:f>
        <x:v>0</x:v>
      </x:c>
      <x:c r="G5" s="82"/>
      <x:c r="H5" s="82"/>
      <x:c r="I5" s="82"/>
      <x:c r="J5" s="82"/>
    </x:row>
    <x:row r="6">
      <x:c r="A6" s="69" t="str">
        <x:v>Needs update</x:v>
      </x:c>
      <x:c r="B6" s="71" t="n">
        <x:f>COUNTIFS('Evidence Index'!D9:D58,"?*",'Evidence Index'!M9:M58,"Needs Update")</x:f>
        <x:v>0</x:v>
      </x:c>
      <x:c r="D6" s="69" t="str">
        <x:v>Not tested</x:v>
      </x:c>
      <x:c r="E6" s="71" t="n">
        <x:f>COUNTIFS('Evidence Index'!D9:D58,"?*",'Evidence Index'!P9:P58,"Not Tested")</x:f>
        <x:v>0</x:v>
      </x:c>
      <x:c r="G6" s="82"/>
      <x:c r="H6" s="82"/>
      <x:c r="I6" s="82"/>
      <x:c r="J6" s="82"/>
    </x:row>
    <x:row r="7">
      <x:c r="A7" s="69" t="str">
        <x:v>Missing evidence</x:v>
      </x:c>
      <x:c r="B7" s="71" t="n">
        <x:f>COUNTIFS('Evidence Index'!D9:D58,"?*",'Evidence Index'!M9:M58,"Missing")</x:f>
        <x:v>0</x:v>
      </x:c>
      <x:c r="D7" s="69" t="str">
        <x:v>Open actions</x:v>
      </x:c>
      <x:c r="E7" s="71" t="n">
        <x:f>COUNTIFS('Evidence Index'!D9:D58,"?*",'Evidence Index'!V9:V58,"Open")+COUNTIFS('Evidence Index'!D9:D58,"?*",'Evidence Index'!V9:V58,"In Progress")</x:f>
        <x:v>0</x:v>
      </x:c>
      <x:c r="G7" s="82"/>
      <x:c r="H7" s="82"/>
      <x:c r="I7" s="82"/>
      <x:c r="J7" s="82"/>
    </x:row>
    <x:row r="8">
      <x:c r="A8" s="69" t="str">
        <x:v>Final readiness — Ready</x:v>
      </x:c>
      <x:c r="B8" s="71" t="n">
        <x:f>COUNTIFS('Evidence Index'!D9:D58,"?*",'Evidence Index'!W9:W58,"Ready")</x:f>
        <x:v>0</x:v>
      </x:c>
      <x:c r="D8" s="69" t="str">
        <x:v>Overdue actions</x:v>
      </x:c>
      <x:c r="E8" s="71" t="n">
        <x:f>COUNTIFS('Evidence Index'!D9:D58,"?*",'Evidence Index'!U9:U58,"&lt;"&amp;TODAY(),'Evidence Index'!U9:U58,"&lt;&gt;",'Evidence Index'!V9:V58,"&lt;&gt;Completed",'Evidence Index'!V9:V58,"&lt;&gt;Accepted")</x:f>
        <x:v>0</x:v>
      </x:c>
    </x:row>
    <x:row r="9">
      <x:c r="A9" s="69" t="str">
        <x:v>Final readiness — Attention</x:v>
      </x:c>
      <x:c r="B9" s="71" t="n">
        <x:f>COUNTIFS('Evidence Index'!D9:D58,"?*",'Evidence Index'!W9:W58,"Attention Required")</x:f>
        <x:v>0</x:v>
      </x:c>
      <x:c r="D9" s="69" t="str">
        <x:v>Average retrieval time (min)</x:v>
      </x:c>
      <x:c r="E9" s="71" t="str">
        <x:f>IFERROR(AVERAGEIF('Evidence Index'!Q9:Q58,"&gt;0"),"")</x:f>
      </x:c>
    </x:row>
    <x:row r="28">
      <x:c r="A28" s="88" t="str">
        <x:v>Version 9.0  |  Issue date: October 2026  |  © 2026 ValiStera Solutions  |  This dashboard is a working aid. Readiness thresholds and inspection priorities should be defined by the site's approved PQS.</x:v>
      </x:c>
      <x:c r="B28" s="88"/>
      <x:c r="C28" s="88"/>
      <x:c r="D28" s="88"/>
      <x:c r="E28" s="88"/>
      <x:c r="F28" s="88"/>
      <x:c r="G28" s="88"/>
      <x:c r="H28" s="88"/>
      <x:c r="I28" s="88"/>
      <x:c r="J28" s="88"/>
    </x:row>
    <x:row r="29">
      <x:c r="A29" s="88"/>
      <x:c r="B29" s="88"/>
      <x:c r="C29" s="88"/>
      <x:c r="D29" s="88"/>
      <x:c r="E29" s="88"/>
      <x:c r="F29" s="88"/>
      <x:c r="G29" s="88"/>
      <x:c r="H29" s="88"/>
      <x:c r="I29" s="88"/>
      <x:c r="J29" s="88"/>
    </x:row>
    <x:row r="30">
      <x:c r="A30" s="88"/>
      <x:c r="B30" s="88"/>
      <x:c r="C30" s="88"/>
      <x:c r="D30" s="88"/>
      <x:c r="E30" s="88"/>
      <x:c r="F30" s="88"/>
      <x:c r="G30" s="88"/>
      <x:c r="H30" s="88"/>
      <x:c r="I30" s="88"/>
      <x:c r="J30" s="88"/>
    </x:row>
  </x:sheetData>
  <x:mergeCells>
    <x:mergeCell ref="A1:J1"/>
    <x:mergeCell ref="G3:J3"/>
    <x:mergeCell ref="G4:J7"/>
    <x:mergeCell ref="A28:J30"/>
  </x:mergeCells>
  <x:pageMargins left="0.7" right="0.7" top="0.75" bottom="0.75" header="0.3" footer="0.3"/>
  <x:drawing xmlns:r="http://schemas.openxmlformats.org/officeDocument/2006/relationships" r:id="Rbc8793c370c34340"/>
</x:worksheet>
</file>

<file path=xl/worksheets/sheet3.xml><?xml version="1.0" encoding="utf-8"?>
<x:worksheet xmlns:x="http://schemas.openxmlformats.org/spreadsheetml/2006/main">
  <x:sheetViews>
    <x:sheetView workbookViewId="0">
      <x:pane xSplit="3" ySplit="4" topLeftCell="D5" activePane="bottomRight" state="frozen"/>
    </x:sheetView>
  </x:sheetViews>
  <x:sheetFormatPr defaultRowHeight="15"/>
  <x:cols>
    <x:col min="1" max="1" width="22" hidden="0" customWidth="1"/>
    <x:col min="2" max="2" width="18" hidden="0" customWidth="1"/>
    <x:col min="3" max="3" width="18" hidden="0" customWidth="1"/>
    <x:col min="4" max="4" width="34" hidden="0" customWidth="1"/>
    <x:col min="5" max="5" width="34" hidden="0" customWidth="1"/>
    <x:col min="6" max="6" width="26" hidden="0" customWidth="1"/>
    <x:col min="7" max="7" width="26" hidden="0" customWidth="1"/>
    <x:col min="8" max="8" width="26" hidden="0" customWidth="1"/>
    <x:col min="9" max="9" width="30" hidden="0" customWidth="1"/>
    <x:col min="10" max="10" width="16" hidden="0" customWidth="1"/>
    <x:col min="11" max="11" width="18" hidden="0" customWidth="1"/>
    <x:col min="12" max="12" width="28" hidden="0" customWidth="1"/>
  </x:cols>
  <x:sheetData>
    <x:row r="1" ht="30" customHeight="1">
      <x:c r="A1" s="3" t="str">
        <x:v>ValiStera  |  Inspection SME Preparation</x:v>
      </x:c>
      <x:c r="B1" s="3"/>
      <x:c r="C1" s="3"/>
      <x:c r="D1" s="3"/>
      <x:c r="E1" s="3"/>
      <x:c r="F1" s="3"/>
      <x:c r="G1" s="3"/>
      <x:c r="H1" s="3"/>
      <x:c r="I1" s="3"/>
      <x:c r="J1" s="3"/>
      <x:c r="K1" s="3"/>
      <x:c r="L1" s="3"/>
    </x:row>
    <x:row r="4" ht="40" customHeight="1">
      <x:c r="A4" s="32" t="str">
        <x:v>Topic / System</x:v>
      </x:c>
      <x:c r="B4" s="32" t="str">
        <x:v>Primary SME</x:v>
      </x:c>
      <x:c r="C4" s="32" t="str">
        <x:v>Backup SME</x:v>
      </x:c>
      <x:c r="D4" s="32" t="str">
        <x:v>Key Message / State of Control</x:v>
      </x:c>
      <x:c r="E4" s="32" t="str">
        <x:v>Likely Inspector Questions</x:v>
      </x:c>
      <x:c r="F4" s="32" t="str">
        <x:v>Primary Evidence</x:v>
      </x:c>
      <x:c r="G4" s="32" t="str">
        <x:v>Supporting Evidence</x:v>
      </x:c>
      <x:c r="H4" s="32" t="str">
        <x:v>Known Gap / Sensitivity</x:v>
      </x:c>
      <x:c r="I4" s="32" t="str">
        <x:v>Response Boundary / Escalation</x:v>
      </x:c>
      <x:c r="J4" s="32" t="str">
        <x:v>Mock Interview</x:v>
      </x:c>
      <x:c r="K4" s="32" t="str">
        <x:v>Readiness Status</x:v>
      </x:c>
      <x:c r="L4" s="32" t="str">
        <x:v>Comments</x:v>
      </x:c>
    </x:row>
    <x:row r="5">
      <x:c r="A5" s="39" t="str"/>
      <x:c r="B5" s="39" t="str"/>
      <x:c r="C5" s="39" t="str"/>
      <x:c r="D5" s="39" t="str"/>
      <x:c r="E5" s="39" t="str"/>
      <x:c r="F5" s="39" t="str"/>
      <x:c r="G5" s="39" t="str"/>
      <x:c r="H5" s="39" t="str"/>
      <x:c r="I5" s="39" t="str"/>
      <x:c r="J5" s="39" t="str"/>
      <x:c r="K5" s="39" t="str"/>
      <x:c r="L5" s="39" t="str"/>
    </x:row>
    <x:row r="6">
      <x:c r="A6" s="39" t="str"/>
      <x:c r="B6" s="39" t="str"/>
      <x:c r="C6" s="39" t="str"/>
      <x:c r="D6" s="39" t="str"/>
      <x:c r="E6" s="39" t="str"/>
      <x:c r="F6" s="39" t="str"/>
      <x:c r="G6" s="39" t="str"/>
      <x:c r="H6" s="39" t="str"/>
      <x:c r="I6" s="39" t="str"/>
      <x:c r="J6" s="39" t="str"/>
      <x:c r="K6" s="39" t="str"/>
      <x:c r="L6" s="39" t="str"/>
    </x:row>
    <x:row r="7">
      <x:c r="A7" s="39" t="str"/>
      <x:c r="B7" s="39" t="str"/>
      <x:c r="C7" s="39" t="str"/>
      <x:c r="D7" s="39" t="str"/>
      <x:c r="E7" s="39" t="str"/>
      <x:c r="F7" s="39" t="str"/>
      <x:c r="G7" s="39" t="str"/>
      <x:c r="H7" s="39" t="str"/>
      <x:c r="I7" s="39" t="str"/>
      <x:c r="J7" s="39" t="str"/>
      <x:c r="K7" s="39" t="str"/>
      <x:c r="L7" s="39" t="str"/>
    </x:row>
    <x:row r="8">
      <x:c r="A8" s="39" t="str"/>
      <x:c r="B8" s="39" t="str"/>
      <x:c r="C8" s="39" t="str"/>
      <x:c r="D8" s="39" t="str"/>
      <x:c r="E8" s="39" t="str"/>
      <x:c r="F8" s="39" t="str"/>
      <x:c r="G8" s="39" t="str"/>
      <x:c r="H8" s="39" t="str"/>
      <x:c r="I8" s="39" t="str"/>
      <x:c r="J8" s="39" t="str"/>
      <x:c r="K8" s="39" t="str"/>
      <x:c r="L8" s="39" t="str"/>
    </x:row>
    <x:row r="9">
      <x:c r="A9" s="39" t="str"/>
      <x:c r="B9" s="39" t="str"/>
      <x:c r="C9" s="39" t="str"/>
      <x:c r="D9" s="39" t="str"/>
      <x:c r="E9" s="39" t="str"/>
      <x:c r="F9" s="39" t="str"/>
      <x:c r="G9" s="39" t="str"/>
      <x:c r="H9" s="39" t="str"/>
      <x:c r="I9" s="39" t="str"/>
      <x:c r="J9" s="39" t="str"/>
      <x:c r="K9" s="39" t="str"/>
      <x:c r="L9" s="39" t="str"/>
    </x:row>
    <x:row r="10">
      <x:c r="A10" s="39" t="str"/>
      <x:c r="B10" s="39" t="str"/>
      <x:c r="C10" s="39" t="str"/>
      <x:c r="D10" s="39" t="str"/>
      <x:c r="E10" s="39" t="str"/>
      <x:c r="F10" s="39" t="str"/>
      <x:c r="G10" s="39" t="str"/>
      <x:c r="H10" s="39" t="str"/>
      <x:c r="I10" s="39" t="str"/>
      <x:c r="J10" s="39" t="str"/>
      <x:c r="K10" s="39" t="str"/>
      <x:c r="L10" s="39" t="str"/>
    </x:row>
    <x:row r="11">
      <x:c r="A11" s="39" t="str"/>
      <x:c r="B11" s="39" t="str"/>
      <x:c r="C11" s="39" t="str"/>
      <x:c r="D11" s="39" t="str"/>
      <x:c r="E11" s="39" t="str"/>
      <x:c r="F11" s="39" t="str"/>
      <x:c r="G11" s="39" t="str"/>
      <x:c r="H11" s="39" t="str"/>
      <x:c r="I11" s="39" t="str"/>
      <x:c r="J11" s="39" t="str"/>
      <x:c r="K11" s="39" t="str"/>
      <x:c r="L11" s="39" t="str"/>
    </x:row>
    <x:row r="12">
      <x:c r="A12" s="39" t="str"/>
      <x:c r="B12" s="39" t="str"/>
      <x:c r="C12" s="39" t="str"/>
      <x:c r="D12" s="39" t="str"/>
      <x:c r="E12" s="39" t="str"/>
      <x:c r="F12" s="39" t="str"/>
      <x:c r="G12" s="39" t="str"/>
      <x:c r="H12" s="39" t="str"/>
      <x:c r="I12" s="39" t="str"/>
      <x:c r="J12" s="39" t="str"/>
      <x:c r="K12" s="39" t="str"/>
      <x:c r="L12" s="39" t="str"/>
    </x:row>
    <x:row r="13">
      <x:c r="A13" s="39" t="str"/>
      <x:c r="B13" s="39" t="str"/>
      <x:c r="C13" s="39" t="str"/>
      <x:c r="D13" s="39" t="str"/>
      <x:c r="E13" s="39" t="str"/>
      <x:c r="F13" s="39" t="str"/>
      <x:c r="G13" s="39" t="str"/>
      <x:c r="H13" s="39" t="str"/>
      <x:c r="I13" s="39" t="str"/>
      <x:c r="J13" s="39" t="str"/>
      <x:c r="K13" s="39" t="str"/>
      <x:c r="L13" s="39" t="str"/>
    </x:row>
    <x:row r="14">
      <x:c r="A14" s="39" t="str"/>
      <x:c r="B14" s="39" t="str"/>
      <x:c r="C14" s="39" t="str"/>
      <x:c r="D14" s="39" t="str"/>
      <x:c r="E14" s="39" t="str"/>
      <x:c r="F14" s="39" t="str"/>
      <x:c r="G14" s="39" t="str"/>
      <x:c r="H14" s="39" t="str"/>
      <x:c r="I14" s="39" t="str"/>
      <x:c r="J14" s="39" t="str"/>
      <x:c r="K14" s="39" t="str"/>
      <x:c r="L14" s="39" t="str"/>
    </x:row>
    <x:row r="15">
      <x:c r="A15" s="39" t="str"/>
      <x:c r="B15" s="39" t="str"/>
      <x:c r="C15" s="39" t="str"/>
      <x:c r="D15" s="39" t="str"/>
      <x:c r="E15" s="39" t="str"/>
      <x:c r="F15" s="39" t="str"/>
      <x:c r="G15" s="39" t="str"/>
      <x:c r="H15" s="39" t="str"/>
      <x:c r="I15" s="39" t="str"/>
      <x:c r="J15" s="39" t="str"/>
      <x:c r="K15" s="39" t="str"/>
      <x:c r="L15" s="39" t="str"/>
    </x:row>
    <x:row r="16">
      <x:c r="A16" s="39" t="str"/>
      <x:c r="B16" s="39" t="str"/>
      <x:c r="C16" s="39" t="str"/>
      <x:c r="D16" s="39" t="str"/>
      <x:c r="E16" s="39" t="str"/>
      <x:c r="F16" s="39" t="str"/>
      <x:c r="G16" s="39" t="str"/>
      <x:c r="H16" s="39" t="str"/>
      <x:c r="I16" s="39" t="str"/>
      <x:c r="J16" s="39" t="str"/>
      <x:c r="K16" s="39" t="str"/>
      <x:c r="L16" s="39" t="str"/>
    </x:row>
    <x:row r="17">
      <x:c r="A17" s="39" t="str"/>
      <x:c r="B17" s="39" t="str"/>
      <x:c r="C17" s="39" t="str"/>
      <x:c r="D17" s="39" t="str"/>
      <x:c r="E17" s="39" t="str"/>
      <x:c r="F17" s="39" t="str"/>
      <x:c r="G17" s="39" t="str"/>
      <x:c r="H17" s="39" t="str"/>
      <x:c r="I17" s="39" t="str"/>
      <x:c r="J17" s="39" t="str"/>
      <x:c r="K17" s="39" t="str"/>
      <x:c r="L17" s="39" t="str"/>
    </x:row>
    <x:row r="18">
      <x:c r="A18" s="39" t="str"/>
      <x:c r="B18" s="39" t="str"/>
      <x:c r="C18" s="39" t="str"/>
      <x:c r="D18" s="39" t="str"/>
      <x:c r="E18" s="39" t="str"/>
      <x:c r="F18" s="39" t="str"/>
      <x:c r="G18" s="39" t="str"/>
      <x:c r="H18" s="39" t="str"/>
      <x:c r="I18" s="39" t="str"/>
      <x:c r="J18" s="39" t="str"/>
      <x:c r="K18" s="39" t="str"/>
      <x:c r="L18" s="39" t="str"/>
    </x:row>
    <x:row r="19">
      <x:c r="A19" s="39" t="str"/>
      <x:c r="B19" s="39" t="str"/>
      <x:c r="C19" s="39" t="str"/>
      <x:c r="D19" s="39" t="str"/>
      <x:c r="E19" s="39" t="str"/>
      <x:c r="F19" s="39" t="str"/>
      <x:c r="G19" s="39" t="str"/>
      <x:c r="H19" s="39" t="str"/>
      <x:c r="I19" s="39" t="str"/>
      <x:c r="J19" s="39" t="str"/>
      <x:c r="K19" s="39" t="str"/>
      <x:c r="L19" s="39" t="str"/>
    </x:row>
    <x:row r="20">
      <x:c r="A20" s="39" t="str"/>
      <x:c r="B20" s="39" t="str"/>
      <x:c r="C20" s="39" t="str"/>
      <x:c r="D20" s="39" t="str"/>
      <x:c r="E20" s="39" t="str"/>
      <x:c r="F20" s="39" t="str"/>
      <x:c r="G20" s="39" t="str"/>
      <x:c r="H20" s="39" t="str"/>
      <x:c r="I20" s="39" t="str"/>
      <x:c r="J20" s="39" t="str"/>
      <x:c r="K20" s="39" t="str"/>
      <x:c r="L20" s="39" t="str"/>
    </x:row>
    <x:row r="21">
      <x:c r="A21" s="39" t="str"/>
      <x:c r="B21" s="39" t="str"/>
      <x:c r="C21" s="39" t="str"/>
      <x:c r="D21" s="39" t="str"/>
      <x:c r="E21" s="39" t="str"/>
      <x:c r="F21" s="39" t="str"/>
      <x:c r="G21" s="39" t="str"/>
      <x:c r="H21" s="39" t="str"/>
      <x:c r="I21" s="39" t="str"/>
      <x:c r="J21" s="39" t="str"/>
      <x:c r="K21" s="39" t="str"/>
      <x:c r="L21" s="39" t="str"/>
    </x:row>
    <x:row r="22">
      <x:c r="A22" s="39" t="str"/>
      <x:c r="B22" s="39" t="str"/>
      <x:c r="C22" s="39" t="str"/>
      <x:c r="D22" s="39" t="str"/>
      <x:c r="E22" s="39" t="str"/>
      <x:c r="F22" s="39" t="str"/>
      <x:c r="G22" s="39" t="str"/>
      <x:c r="H22" s="39" t="str"/>
      <x:c r="I22" s="39" t="str"/>
      <x:c r="J22" s="39" t="str"/>
      <x:c r="K22" s="39" t="str"/>
      <x:c r="L22" s="39" t="str"/>
    </x:row>
    <x:row r="23">
      <x:c r="A23" s="39" t="str"/>
      <x:c r="B23" s="39" t="str"/>
      <x:c r="C23" s="39" t="str"/>
      <x:c r="D23" s="39" t="str"/>
      <x:c r="E23" s="39" t="str"/>
      <x:c r="F23" s="39" t="str"/>
      <x:c r="G23" s="39" t="str"/>
      <x:c r="H23" s="39" t="str"/>
      <x:c r="I23" s="39" t="str"/>
      <x:c r="J23" s="39" t="str"/>
      <x:c r="K23" s="39" t="str"/>
      <x:c r="L23" s="39" t="str"/>
    </x:row>
    <x:row r="24">
      <x:c r="A24" s="39" t="str"/>
      <x:c r="B24" s="39" t="str"/>
      <x:c r="C24" s="39" t="str"/>
      <x:c r="D24" s="39" t="str"/>
      <x:c r="E24" s="39" t="str"/>
      <x:c r="F24" s="39" t="str"/>
      <x:c r="G24" s="39" t="str"/>
      <x:c r="H24" s="39" t="str"/>
      <x:c r="I24" s="39" t="str"/>
      <x:c r="J24" s="39" t="str"/>
      <x:c r="K24" s="39" t="str"/>
      <x:c r="L24" s="39" t="str"/>
    </x:row>
    <x:row r="25">
      <x:c r="A25" s="39" t="str"/>
      <x:c r="B25" s="39" t="str"/>
      <x:c r="C25" s="39" t="str"/>
      <x:c r="D25" s="39" t="str"/>
      <x:c r="E25" s="39" t="str"/>
      <x:c r="F25" s="39" t="str"/>
      <x:c r="G25" s="39" t="str"/>
      <x:c r="H25" s="39" t="str"/>
      <x:c r="I25" s="39" t="str"/>
      <x:c r="J25" s="39" t="str"/>
      <x:c r="K25" s="39" t="str"/>
      <x:c r="L25" s="39" t="str"/>
    </x:row>
    <x:row r="26">
      <x:c r="A26" s="39" t="str"/>
      <x:c r="B26" s="39" t="str"/>
      <x:c r="C26" s="39" t="str"/>
      <x:c r="D26" s="39" t="str"/>
      <x:c r="E26" s="39" t="str"/>
      <x:c r="F26" s="39" t="str"/>
      <x:c r="G26" s="39" t="str"/>
      <x:c r="H26" s="39" t="str"/>
      <x:c r="I26" s="39" t="str"/>
      <x:c r="J26" s="39" t="str"/>
      <x:c r="K26" s="39" t="str"/>
      <x:c r="L26" s="39" t="str"/>
    </x:row>
    <x:row r="27">
      <x:c r="A27" s="39" t="str"/>
      <x:c r="B27" s="39" t="str"/>
      <x:c r="C27" s="39" t="str"/>
      <x:c r="D27" s="39" t="str"/>
      <x:c r="E27" s="39" t="str"/>
      <x:c r="F27" s="39" t="str"/>
      <x:c r="G27" s="39" t="str"/>
      <x:c r="H27" s="39" t="str"/>
      <x:c r="I27" s="39" t="str"/>
      <x:c r="J27" s="39" t="str"/>
      <x:c r="K27" s="39" t="str"/>
      <x:c r="L27" s="39" t="str"/>
    </x:row>
    <x:row r="28">
      <x:c r="A28" s="39" t="str"/>
      <x:c r="B28" s="39" t="str"/>
      <x:c r="C28" s="39" t="str"/>
      <x:c r="D28" s="39" t="str"/>
      <x:c r="E28" s="39" t="str"/>
      <x:c r="F28" s="39" t="str"/>
      <x:c r="G28" s="39" t="str"/>
      <x:c r="H28" s="39" t="str"/>
      <x:c r="I28" s="39" t="str"/>
      <x:c r="J28" s="39" t="str"/>
      <x:c r="K28" s="39" t="str"/>
      <x:c r="L28" s="39" t="str"/>
    </x:row>
    <x:row r="29">
      <x:c r="A29" s="39" t="str"/>
      <x:c r="B29" s="39" t="str"/>
      <x:c r="C29" s="39" t="str"/>
      <x:c r="D29" s="39" t="str"/>
      <x:c r="E29" s="39" t="str"/>
      <x:c r="F29" s="39" t="str"/>
      <x:c r="G29" s="39" t="str"/>
      <x:c r="H29" s="39" t="str"/>
      <x:c r="I29" s="39" t="str"/>
      <x:c r="J29" s="39" t="str"/>
      <x:c r="K29" s="39" t="str"/>
      <x:c r="L29" s="39" t="str"/>
    </x:row>
    <x:row r="30">
      <x:c r="A30" s="39" t="str"/>
      <x:c r="B30" s="39" t="str"/>
      <x:c r="C30" s="39" t="str"/>
      <x:c r="D30" s="39" t="str"/>
      <x:c r="E30" s="39" t="str"/>
      <x:c r="F30" s="39" t="str"/>
      <x:c r="G30" s="39" t="str"/>
      <x:c r="H30" s="39" t="str"/>
      <x:c r="I30" s="39" t="str"/>
      <x:c r="J30" s="39" t="str"/>
      <x:c r="K30" s="39" t="str"/>
      <x:c r="L30" s="39" t="str"/>
    </x:row>
    <x:row r="31">
      <x:c r="A31" s="39" t="str"/>
      <x:c r="B31" s="39" t="str"/>
      <x:c r="C31" s="39" t="str"/>
      <x:c r="D31" s="39" t="str"/>
      <x:c r="E31" s="39" t="str"/>
      <x:c r="F31" s="39" t="str"/>
      <x:c r="G31" s="39" t="str"/>
      <x:c r="H31" s="39" t="str"/>
      <x:c r="I31" s="39" t="str"/>
      <x:c r="J31" s="39" t="str"/>
      <x:c r="K31" s="39" t="str"/>
      <x:c r="L31" s="39" t="str"/>
    </x:row>
    <x:row r="32">
      <x:c r="A32" s="39" t="str"/>
      <x:c r="B32" s="39" t="str"/>
      <x:c r="C32" s="39" t="str"/>
      <x:c r="D32" s="39" t="str"/>
      <x:c r="E32" s="39" t="str"/>
      <x:c r="F32" s="39" t="str"/>
      <x:c r="G32" s="39" t="str"/>
      <x:c r="H32" s="39" t="str"/>
      <x:c r="I32" s="39" t="str"/>
      <x:c r="J32" s="39" t="str"/>
      <x:c r="K32" s="39" t="str"/>
      <x:c r="L32" s="39" t="str"/>
    </x:row>
    <x:row r="33">
      <x:c r="A33" s="39" t="str"/>
      <x:c r="B33" s="39" t="str"/>
      <x:c r="C33" s="39" t="str"/>
      <x:c r="D33" s="39" t="str"/>
      <x:c r="E33" s="39" t="str"/>
      <x:c r="F33" s="39" t="str"/>
      <x:c r="G33" s="39" t="str"/>
      <x:c r="H33" s="39" t="str"/>
      <x:c r="I33" s="39" t="str"/>
      <x:c r="J33" s="39" t="str"/>
      <x:c r="K33" s="39" t="str"/>
      <x:c r="L33" s="39" t="str"/>
    </x:row>
    <x:row r="34">
      <x:c r="A34" s="39" t="str"/>
      <x:c r="B34" s="39" t="str"/>
      <x:c r="C34" s="39" t="str"/>
      <x:c r="D34" s="39" t="str"/>
      <x:c r="E34" s="39" t="str"/>
      <x:c r="F34" s="39" t="str"/>
      <x:c r="G34" s="39" t="str"/>
      <x:c r="H34" s="39" t="str"/>
      <x:c r="I34" s="39" t="str"/>
      <x:c r="J34" s="39" t="str"/>
      <x:c r="K34" s="39" t="str"/>
      <x:c r="L34" s="39" t="str"/>
    </x:row>
    <x:row r="36">
      <x:c r="A36" s="49" t="str">
        <x:v>SME PREPARATION PRINCIPLE  |  Prepare SMEs to explain the actual state of control accurately and concisely. Do not coach scripted or misleading responses. Escalate questions outside the SME's knowledge or authority through the site's defined inspection process.</x:v>
      </x:c>
      <x:c r="B36" s="49"/>
      <x:c r="C36" s="49"/>
      <x:c r="D36" s="49"/>
      <x:c r="E36" s="49"/>
      <x:c r="F36" s="49"/>
      <x:c r="G36" s="49"/>
      <x:c r="H36" s="49"/>
      <x:c r="I36" s="49"/>
      <x:c r="J36" s="49"/>
      <x:c r="K36" s="49"/>
      <x:c r="L36" s="49"/>
    </x:row>
    <x:row r="37">
      <x:c r="A37" s="49"/>
      <x:c r="B37" s="49"/>
      <x:c r="C37" s="49"/>
      <x:c r="D37" s="49"/>
      <x:c r="E37" s="49"/>
      <x:c r="F37" s="49"/>
      <x:c r="G37" s="49"/>
      <x:c r="H37" s="49"/>
      <x:c r="I37" s="49"/>
      <x:c r="J37" s="49"/>
      <x:c r="K37" s="49"/>
      <x:c r="L37" s="49"/>
    </x:row>
    <x:row r="38">
      <x:c r="A38" s="49"/>
      <x:c r="B38" s="49"/>
      <x:c r="C38" s="49"/>
      <x:c r="D38" s="49"/>
      <x:c r="E38" s="49"/>
      <x:c r="F38" s="49"/>
      <x:c r="G38" s="49"/>
      <x:c r="H38" s="49"/>
      <x:c r="I38" s="49"/>
      <x:c r="J38" s="49"/>
      <x:c r="K38" s="49"/>
      <x:c r="L38" s="49"/>
    </x:row>
  </x:sheetData>
  <x:mergeCells>
    <x:mergeCell ref="A1:L1"/>
    <x:mergeCell ref="A36:L38"/>
  </x:mergeCells>
  <x:conditionalFormatting sqref="K5:K34">
    <x:cfRule type="expression" dxfId="10" priority="1">
      <x:formula>K5="Ready"</x:formula>
    </x:cfRule>
    <x:cfRule type="expression" dxfId="11" priority="2">
      <x:formula>K5="Needs Coaching"</x:formula>
    </x:cfRule>
    <x:cfRule type="expression" dxfId="12" priority="3">
      <x:formula>K5="Attention Required"</x:formula>
    </x:cfRule>
  </x:conditionalFormatting>
  <x:dataValidations count="2">
    <x:dataValidation type="list" sqref="J5:J34">
      <x:formula1>"Not Conducted,Completed,Follow-up Needed"</x:formula1>
    </x:dataValidation>
    <x:dataValidation type="list" sqref="K5:K34">
      <x:formula1>"Ready,Needs Coaching,Attention Required"</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4" hidden="0" customWidth="1"/>
    <x:col min="3" max="3" width="78" hidden="0" customWidth="1"/>
    <x:col min="4" max="4" width="12" hidden="0" customWidth="1"/>
    <x:col min="5" max="5" width="12" hidden="0" customWidth="1"/>
    <x:col min="6" max="6" width="12" hidden="0" customWidth="1"/>
  </x:cols>
  <x:sheetData>
    <x:row r="1" ht="30" customHeight="1">
      <x:c r="A1" s="3" t="str">
        <x:v>ValiStera  |  Inspection Readiness Evidence Index — Instructions</x:v>
      </x:c>
      <x:c r="B1" s="3"/>
      <x:c r="C1" s="3"/>
      <x:c r="D1" s="3"/>
      <x:c r="E1" s="3"/>
      <x:c r="F1" s="3"/>
    </x:row>
    <x:row r="3">
      <x:c r="A3" s="99" t="str">
        <x:v>1</x:v>
      </x:c>
      <x:c r="B3" s="103" t="str">
        <x:v>Define inspection scope</x:v>
      </x:c>
      <x:c r="C3" s="93" t="str">
        <x:v>Identify the inspection type, likely focus areas, products, systems and relevant commitments before populating the evidence index.</x:v>
      </x:c>
    </x:row>
    <x:row r="4">
      <x:c r="A4" s="99" t="str">
        <x:v>2</x:v>
      </x:c>
      <x:c r="B4" s="103" t="str">
        <x:v>Map evidence</x:v>
      </x:c>
      <x:c r="C4" s="93" t="str">
        <x:v>List the controlled records, reports, procedures, trends and objective evidence that demonstrate the state of control.</x:v>
      </x:c>
    </x:row>
    <x:row r="5">
      <x:c r="A5" s="99" t="str">
        <x:v>3</x:v>
      </x:c>
      <x:c r="B5" s="103" t="str">
        <x:v>Assign ownership</x:v>
      </x:c>
      <x:c r="C5" s="93" t="str">
        <x:v>Name the document owner and primary/backup SMEs who can retrieve, explain and defend the evidence.</x:v>
      </x:c>
    </x:row>
    <x:row r="6">
      <x:c r="A6" s="99" t="str">
        <x:v>4</x:v>
      </x:c>
      <x:c r="B6" s="103" t="str">
        <x:v>Confirm current status</x:v>
      </x:c>
      <x:c r="C6" s="93" t="str">
        <x:v>Verify that evidence is approved/current and that superseded or draft material is not presented as effective evidence.</x:v>
      </x:c>
    </x:row>
    <x:row r="7">
      <x:c r="A7" s="99" t="str">
        <x:v>5</x:v>
      </x:c>
      <x:c r="B7" s="103" t="str">
        <x:v>Test retrieval</x:v>
      </x:c>
      <x:c r="C7" s="93" t="str">
        <x:v>Perform realistic retrieval drills. Record pass/fail and retrieval time where useful for readiness monitoring.</x:v>
      </x:c>
    </x:row>
    <x:row r="8">
      <x:c r="A8" s="99" t="str">
        <x:v>6</x:v>
      </x:c>
      <x:c r="B8" s="103" t="str">
        <x:v>Identify gaps</x:v>
      </x:c>
      <x:c r="C8" s="93" t="str">
        <x:v>Document missing, outdated, inconsistent or difficult-to-retrieve evidence and assess the inspection risk.</x:v>
      </x:c>
    </x:row>
    <x:row r="9">
      <x:c r="A9" s="99" t="str">
        <x:v>7</x:v>
      </x:c>
      <x:c r="B9" s="103" t="str">
        <x:v>Track actions</x:v>
      </x:c>
      <x:c r="C9" s="93" t="str">
        <x:v>Assign accountable owners, dates and action status for remediation. Escalate critical gaps through the site's PQS.</x:v>
      </x:c>
    </x:row>
    <x:row r="10">
      <x:c r="A10" s="99" t="str">
        <x:v>8</x:v>
      </x:c>
      <x:c r="B10" s="103" t="str">
        <x:v>Prepare SMEs</x:v>
      </x:c>
      <x:c r="C10" s="93" t="str">
        <x:v>Use the SME Preparation sheet to align factual key messages, evidence references, boundaries and escalation routes.</x:v>
      </x:c>
    </x:row>
    <x:row r="11">
      <x:c r="A11" s="99" t="str">
        <x:v>9</x:v>
      </x:c>
      <x:c r="B11" s="103" t="str">
        <x:v>Review dynamically</x:v>
      </x:c>
      <x:c r="C11" s="93" t="str">
        <x:v>Update the index as remediation closes, evidence changes or new inspection intelligence becomes available.</x:v>
      </x:c>
    </x:row>
    <x:row r="13">
      <x:c r="A13" s="24" t="str">
        <x:v>READINESS PRINCIPLE  |  This workbook is an organizational aid for evidence retrieval, SME readiness and remediation tracking. It does not define a regulatory requirement for a specific index, scoring threshold or retrieval time. Each organization should establish its own inspection-readiness process based on applicable regulations, inspection history, commitments and the approved PQS.</x:v>
      </x:c>
      <x:c r="B13" s="24"/>
      <x:c r="C13" s="24"/>
      <x:c r="D13" s="24"/>
      <x:c r="E13" s="24"/>
      <x:c r="F13" s="24"/>
    </x:row>
    <x:row r="14">
      <x:c r="A14" s="24"/>
      <x:c r="B14" s="24"/>
      <x:c r="C14" s="24"/>
      <x:c r="D14" s="24"/>
      <x:c r="E14" s="24"/>
      <x:c r="F14" s="24"/>
    </x:row>
    <x:row r="15">
      <x:c r="A15" s="24"/>
      <x:c r="B15" s="24"/>
      <x:c r="C15" s="24"/>
      <x:c r="D15" s="24"/>
      <x:c r="E15" s="24"/>
      <x:c r="F15" s="24"/>
    </x:row>
    <x:row r="16">
      <x:c r="A16" s="24"/>
      <x:c r="B16" s="24"/>
      <x:c r="C16" s="24"/>
      <x:c r="D16" s="24"/>
      <x:c r="E16" s="24"/>
      <x:c r="F16" s="24"/>
    </x:row>
    <x:row r="18">
      <x:c r="A18" s="49" t="str">
        <x:v>COPYRIGHT &amp; USE  |  © 2026 ValiStera Solutions. Version 9.0. This resource may be used internally as a professional working aid. Redistribution, resale, rebranding or removal of ValiStera identification without written permission is prohibited.</x:v>
      </x:c>
      <x:c r="B18" s="49"/>
      <x:c r="C18" s="49"/>
      <x:c r="D18" s="49"/>
      <x:c r="E18" s="49"/>
      <x:c r="F18" s="49"/>
    </x:row>
    <x:row r="19">
      <x:c r="A19" s="49"/>
      <x:c r="B19" s="49"/>
      <x:c r="C19" s="49"/>
      <x:c r="D19" s="49"/>
      <x:c r="E19" s="49"/>
      <x:c r="F19" s="49"/>
    </x:row>
    <x:row r="20">
      <x:c r="A20" s="49"/>
      <x:c r="B20" s="49"/>
      <x:c r="C20" s="49"/>
      <x:c r="D20" s="49"/>
      <x:c r="E20" s="49"/>
      <x:c r="F20" s="49"/>
    </x:row>
    <x:row r="21">
      <x:c r="A21" s="49"/>
      <x:c r="B21" s="49"/>
      <x:c r="C21" s="49"/>
      <x:c r="D21" s="49"/>
      <x:c r="E21" s="49"/>
      <x:c r="F21" s="49"/>
    </x:row>
  </x:sheetData>
  <x:mergeCells>
    <x:mergeCell ref="A1:F1"/>
    <x:mergeCell ref="A13:F16"/>
    <x:mergeCell ref="A18:F21"/>
  </x:mergeCells>
  <x:pageMargins left="0.7" right="0.7" top="0.75" bottom="0.75" header="0.3" footer="0.3"/>
</x:worksheet>
</file>