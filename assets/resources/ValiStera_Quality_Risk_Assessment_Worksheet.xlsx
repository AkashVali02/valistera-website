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b830b96b1244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isk Assessment" sheetId="1" r:id="Ra7fdc7df94174764"/>
    <x:sheet xmlns:r="http://schemas.openxmlformats.org/officeDocument/2006/relationships" name="Scoring Guide" sheetId="2" r:id="Rfc52f507c75a439a"/>
    <x:sheet xmlns:r="http://schemas.openxmlformats.org/officeDocument/2006/relationships" name="Instructions" sheetId="3" r:id="Rdd8b3eb072694071"/>
    <x:sheet xmlns:r="http://schemas.openxmlformats.org/officeDocument/2006/relationships" name="Risk Summary" sheetId="4" r:id="R2e22f382a03444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-mmm-yyyy"/>
  </x:numFmts>
  <x:fonts count="14">
    <x:font>
      <x:sz val="11"/>
      <x:name val="Carlito"/>
    </x:font>
    <x:font>
      <x:b/>
      <x:sz val="14"/>
      <x:color rgb="FFFFFFFF"/>
      <x:name val="Carlito"/>
    </x:font>
    <x:font>
      <x:b/>
      <x:sz val="10"/>
      <x:color rgb="FF169BD5"/>
      <x:name val="Carlito"/>
    </x:font>
    <x:font>
      <x:b/>
      <x:sz val="11"/>
      <x:color rgb="FF0B2E4F"/>
      <x:name val="Carlito"/>
    </x:font>
    <x:font>
      <x:sz val="9"/>
      <x:color rgb="FF667785"/>
      <x:name val="Carlito"/>
    </x:font>
    <x:font>
      <x:b/>
      <x:sz val="9"/>
      <x:color rgb="FFFFFFFF"/>
      <x:name val="Carlito"/>
    </x:font>
    <x:font>
      <x:sz val="9"/>
      <x:color rgb="FF243746"/>
      <x:name val="Carlito"/>
    </x:font>
    <x:font>
      <x:sz val="9"/>
      <x:color rgb="FFFFFFFF"/>
      <x:name val="Carlito"/>
    </x:font>
    <x:font>
      <x:b/>
      <x:sz val="46"/>
      <x:color rgb="FFD5E7F2"/>
      <x:name val="Carlito"/>
    </x:font>
    <x:font>
      <x:b/>
      <x:sz val="11"/>
      <x:color rgb="FFFFFFFF"/>
      <x:name val="Carlito"/>
    </x:font>
    <x:font>
      <x:sz val="9"/>
      <x:name val="Carlito"/>
    </x:font>
    <x:font>
      <x:b/>
      <x:sz val="9"/>
      <x:color rgb="FF0B2E4F"/>
      <x:name val="Carlito"/>
    </x:font>
    <x:font>
      <x:b/>
      <x:sz val="46"/>
      <x:color rgb="FFD8D8D8"/>
      <x:name val="Carlito"/>
    </x:font>
    <x:font>
      <x:b/>
      <x:sz val="46"/>
      <x:color rgb="FFCBEAF8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E4F"/>
      </x:patternFill>
    </x:fill>
    <x:fill>
      <x:patternFill patternType="solid">
        <x:fgColor rgb="FFEAF6FC"/>
      </x:patternFill>
    </x:fill>
    <x:fill>
      <x:patternFill patternType="solid">
        <x:fgColor rgb="FFF6FAFC"/>
      </x:patternFill>
    </x:fill>
  </x:fills>
  <x:borders count="2">
    <x:border/>
    <x:border/>
  </x:borders>
  <x:cellStyleXfs count="1">
    <x:xf numFmtId="0" fontId="0" fillId="0" borderId="0"/>
  </x:cellStyleXfs>
  <x:cellXfs count="1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 applyAlignment="1">
      <x:alignment vertical="center" wrapText="1"/>
    </x:xf>
    <x:xf numFmtId="0" fontId="3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horizontal="center" wrapText="1"/>
    </x:xf>
    <x:xf numFmtId="0" fontId="5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/>
    <x:xf numFmtId="20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horizontal="center" vertical="top" wrapText="1"/>
    </x:xf>
    <x:xf numFmtId="0" fontId="6" fillId="0" borderId="1" xfId="0" applyNumberFormat="1" applyFont="1" applyFill="1" applyBorder="1" applyAlignment="1">
      <x:alignment horizontal="center" vertical="top" wrapText="1"/>
    </x:xf>
    <x:xf numFmtId="0" fontId="7" fillId="2" borderId="0" xfId="0" applyNumberFormat="1" applyFont="1" applyFill="1" applyBorder="1"/>
    <x:xf numFmtId="0" fontId="7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 wrapText="1"/>
    </x:xf>
    <x:xf numFmtId="0" fontId="7" fillId="2" borderId="1" xfId="0" applyNumberFormat="1" applyFont="1" applyFill="1" applyBorder="1"/>
    <x:xf numFmtId="0" fontId="7" fillId="2" borderId="1" xfId="0" applyNumberFormat="1" applyFont="1" applyFill="1" applyBorder="1" applyAlignment="1">
      <x:alignment wrapText="1"/>
    </x:xf>
    <x:xf numFmtId="0" fontId="7" fillId="2" borderId="1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/>
    </x:xf>
    <x:xf numFmtId="0" fontId="8" fillId="0" borderId="0" xfId="0" applyNumberFormat="1" applyFont="1" applyFill="1" applyBorder="1" applyAlignment="1">
      <x:alignment horizontal="center" vertical="center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horizontal="center"/>
    </x:xf>
    <x:xf numFmtId="0" fontId="8" fillId="0" borderId="1" xfId="0" applyNumberFormat="1" applyFont="1" applyFill="1" applyBorder="1" applyAlignment="1">
      <x:alignment horizontal="center" vertical="center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 applyAlignment="1">
      <x:alignment horizontal="center" wrapText="1"/>
    </x:xf>
    <x:xf numFmtId="0" fontId="9" fillId="2" borderId="0" xfId="0" applyNumberFormat="1" applyFont="1" applyFill="1" applyBorder="1" applyAlignment="1">
      <x:alignment horizontal="center" vertical="center" wrapText="1"/>
    </x:xf>
    <x:xf numFmtId="0" fontId="9" fillId="2" borderId="1" xfId="0" applyNumberFormat="1" applyFont="1" applyFill="1" applyBorder="1"/>
    <x:xf numFmtId="0" fontId="9" fillId="2" borderId="1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horizontal="center" wrapText="1"/>
    </x:xf>
    <x:xf numFmtId="0" fontId="9" fillId="2" borderId="1" xfId="0" applyNumberFormat="1" applyFont="1" applyFill="1" applyBorder="1" applyAlignment="1">
      <x:alignment horizontal="center" vertical="center" wrapText="1"/>
    </x:xf>
    <x:xf numFmtId="0" fontId="10" fillId="0" borderId="0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0" fillId="0" borderId="0" xfId="0" applyNumberFormat="1" applyFont="1" applyFill="1" applyBorder="1" applyAlignment="1">
      <x:alignment vertical="top" wrapText="1"/>
    </x:xf>
    <x:xf numFmtId="0" fontId="10" fillId="0" borderId="1" xfId="0" applyNumberFormat="1" applyFont="1" applyFill="1" applyBorder="1"/>
    <x:xf numFmtId="0" fontId="10" fillId="0" borderId="1" xfId="0" applyNumberFormat="1" applyFont="1" applyFill="1" applyBorder="1" applyAlignment="1">
      <x:alignment wrapText="1"/>
    </x:xf>
    <x:xf numFmtId="0" fontId="10" fillId="0" borderId="1" xfId="0" applyNumberFormat="1" applyFont="1" applyFill="1" applyBorder="1" applyAlignment="1">
      <x:alignment vertical="top" wrapText="1"/>
    </x:xf>
    <x:xf numFmtId="0" fontId="10" fillId="0" borderId="0" xfId="0" applyNumberFormat="1" applyFont="1" applyFill="1" applyBorder="1" applyAlignment="1">
      <x:alignment horizontal="center" vertical="top" wrapText="1"/>
    </x:xf>
    <x:xf numFmtId="0" fontId="10" fillId="0" borderId="1" xfId="0" applyNumberFormat="1" applyFont="1" applyFill="1" applyBorder="1" applyAlignment="1">
      <x:alignment horizontal="center" vertical="top" wrapText="1"/>
    </x:xf>
    <x:xf numFmtId="0" fontId="10" fillId="3" borderId="0" xfId="0" applyNumberFormat="1" applyFont="1" applyFill="1" applyBorder="1" applyAlignment="1">
      <x:alignment vertical="top" wrapText="1"/>
    </x:xf>
    <x:xf numFmtId="0" fontId="11" fillId="3" borderId="0" xfId="0" applyNumberFormat="1" applyFont="1" applyFill="1" applyBorder="1" applyAlignment="1">
      <x:alignment vertical="top" wrapText="1"/>
    </x:xf>
    <x:xf numFmtId="0" fontId="10" fillId="3" borderId="1" xfId="0" applyNumberFormat="1" applyFont="1" applyFill="1" applyBorder="1" applyAlignment="1">
      <x:alignment vertical="top" wrapText="1"/>
    </x:xf>
    <x:xf numFmtId="0" fontId="11" fillId="3" borderId="1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vertical="center"/>
    </x:xf>
    <x:xf numFmtId="0" fontId="7" fillId="2" borderId="1" xfId="0" applyNumberFormat="1" applyFont="1" applyFill="1" applyBorder="1" applyAlignment="1">
      <x:alignment horizontal="center"/>
    </x:xf>
    <x:xf numFmtId="0" fontId="7" fillId="2" borderId="1" xfId="0" applyNumberFormat="1" applyFont="1" applyFill="1" applyBorder="1" applyAlignment="1">
      <x:alignment horizontal="center" vertical="center"/>
    </x:xf>
    <x:xf numFmtId="0" fontId="11" fillId="3" borderId="0" xfId="0" applyNumberFormat="1" applyFont="1" applyFill="1" applyBorder="1" applyAlignment="1">
      <x:alignment horizontal="center" vertical="top" wrapText="1"/>
    </x:xf>
    <x:xf numFmtId="0" fontId="11" fillId="3" borderId="1" xfId="0" applyNumberFormat="1" applyFont="1" applyFill="1" applyBorder="1" applyAlignment="1">
      <x:alignment horizontal="center" vertical="top" wrapText="1"/>
    </x:xf>
    <x:xf numFmtId="0" fontId="11" fillId="0" borderId="0" xfId="0" applyNumberFormat="1" applyFont="1" applyFill="1" applyBorder="1" applyAlignment="1">
      <x:alignment vertical="top" wrapText="1"/>
    </x:xf>
    <x:xf numFmtId="0" fontId="11" fillId="0" borderId="1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 applyAlignment="1">
      <x:alignment horizontal="right" vertical="center"/>
    </x:xf>
    <x:xf numFmtId="0" fontId="12" fillId="0" borderId="1" xfId="0" applyNumberFormat="1" applyFont="1" applyFill="1" applyBorder="1" applyAlignment="1">
      <x:alignment horizontal="center" vertical="center"/>
    </x:xf>
    <x:xf numFmtId="0" fontId="12" fillId="0" borderId="1" xfId="0" applyNumberFormat="1" applyFont="1" applyFill="1" applyBorder="1" applyAlignment="1">
      <x:alignment horizontal="right" vertical="center"/>
    </x:xf>
    <x:xf numFmtId="0" fontId="13" fillId="0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 applyAlignment="1">
      <x:alignment horizontal="left" vertical="center"/>
    </x:xf>
    <x:xf numFmtId="0" fontId="13" fillId="0" borderId="1" xfId="0" applyNumberFormat="1" applyFont="1" applyFill="1" applyBorder="1" applyAlignment="1">
      <x:alignment horizontal="center" vertical="center"/>
    </x:xf>
    <x:xf numFmtId="0" fontId="13" fillId="0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 applyAlignment="1">
      <x:alignment horizontal="center"/>
    </x:xf>
    <x:xf numFmtId="0" fontId="7" fillId="2" borderId="0" xfId="0" applyNumberFormat="1" applyFont="1" applyFill="1" applyBorder="1" applyAlignment="1">
      <x:alignment horizontal="center" wrapText="1"/>
    </x:xf>
    <x:xf numFmtId="0" fontId="7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6"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664D03"/>
      </x:font>
      <x:fill>
        <x:patternFill patternType="solid">
          <x:bgColor rgb="FFFFF3CD"/>
        </x:patternFill>
      </x:fill>
    </x:dxf>
    <x:dxf>
      <x:font>
        <x:b/>
        <x:color rgb="FF0F5132"/>
      </x:font>
      <x:fill>
        <x:patternFill patternType="solid">
          <x:bgColor rgb="FFD1E7DD"/>
        </x:patternFill>
      </x:fill>
    </x:dxf>
    <x:dxf>
      <x:font>
        <x:b/>
        <x:color rgb="FF842029"/>
      </x:font>
      <x:fill>
        <x:patternFill patternType="solid">
          <x:bgColor rgb="FFF8D7DA"/>
        </x:patternFill>
      </x:fill>
    </x:dxf>
    <x:dxf>
      <x:font>
        <x:b/>
        <x:color rgb="FF664D03"/>
      </x:font>
      <x:fill>
        <x:patternFill patternType="solid">
          <x:bgColor rgb="FFFFF3CD"/>
        </x:patternFill>
      </x:fill>
    </x:dxf>
    <x:dxf>
      <x:font>
        <x:b/>
        <x:color rgb="FF0F5132"/>
      </x:font>
      <x:fill>
        <x:patternFill patternType="solid">
          <x:bgColor rgb="FFD1E7D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3b5e245fb746e3" /><Relationship Type="http://schemas.openxmlformats.org/officeDocument/2006/relationships/theme" Target="/xl/theme/theme1.xml" Id="R779b6d038a4b4bfb" /><Relationship Type="http://schemas.openxmlformats.org/officeDocument/2006/relationships/sharedStrings" Target="/xl/sharedStrings.xml" Id="Rd11e2c7a084e440d" /><Relationship Type="http://schemas.openxmlformats.org/officeDocument/2006/relationships/worksheet" Target="/xl/worksheets/sheet1.xml" Id="Ra7fdc7df94174764" /><Relationship Type="http://schemas.openxmlformats.org/officeDocument/2006/relationships/worksheet" Target="/xl/worksheets/sheet2.xml" Id="Rfc52f507c75a439a" /><Relationship Type="http://schemas.openxmlformats.org/officeDocument/2006/relationships/worksheet" Target="/xl/worksheets/sheet3.xml" Id="Rdd8b3eb072694071" /><Relationship Type="http://schemas.openxmlformats.org/officeDocument/2006/relationships/worksheet" Target="/xl/worksheets/sheet4.xml" Id="R2e22f382a03444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3d1d977929a475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Initial Risk Distribution</a:t>
            </a:r>
          </a:p>
        </c:rich>
      </c:tx>
      <c:overlay val="0"/>
    </c:title>
    <c:plotArea>
      <c:barChart>
        <c:barDir val="col"/>
        <c:grouping val="clustered"/>
        <c:varyColors val="0"/>
        <c:ser>
          <c:idx val="0"/>
          <c:order val="0"/>
          <c:tx>
            <c:v>Series 1</c:v>
          </c:tx>
          <c:cat>
            <c:strRef>
              <c:f>'Risk Summary'!$A$5:$A$7</c:f>
              <c:strCache>
                <c:ptCount val="0"/>
              </c:strCache>
            </c:strRef>
          </c:cat>
          <c:val>
            <c:numRef>
              <c:f>'Risk Summary'!$B$5:$B$7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d1d977929a475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9aac4c0b7fe4f33" /></Relationships>
</file>

<file path=xl/worksheets/sheet1.xml><?xml version="1.0" encoding="utf-8"?>
<x:worksheet xmlns:x="http://schemas.openxmlformats.org/spreadsheetml/2006/main">
  <x:sheetViews>
    <x:sheetView workbookViewId="0">
      <x:pane xSplit="2" ySplit="8" topLeftCell="C9" activePane="bottomRight" state="frozen"/>
    </x:sheetView>
  </x:sheetViews>
  <x:sheetFormatPr defaultRowHeight="15"/>
  <x:cols>
    <x:col min="1" max="1" width="6" hidden="0" customWidth="1"/>
    <x:col min="2" max="2" width="22" hidden="0" customWidth="1"/>
    <x:col min="3" max="3" width="24" hidden="0" customWidth="1"/>
    <x:col min="4" max="4" width="24" hidden="0" customWidth="1"/>
    <x:col min="5" max="5" width="24" hidden="0" customWidth="1"/>
    <x:col min="6" max="6" width="9" hidden="0" customWidth="1"/>
    <x:col min="7" max="7" width="10" hidden="0" customWidth="1"/>
    <x:col min="8" max="8" width="11" hidden="0" customWidth="1"/>
    <x:col min="9" max="9" width="10" hidden="0" customWidth="1"/>
    <x:col min="10" max="10" width="12" hidden="0" customWidth="1"/>
    <x:col min="11" max="11" width="26" hidden="0" customWidth="1"/>
    <x:col min="12" max="12" width="16" hidden="0" customWidth="1"/>
    <x:col min="13" max="13" width="13" hidden="0" customWidth="1"/>
    <x:col min="14" max="14" width="11" hidden="0" customWidth="1"/>
    <x:col min="15" max="15" width="12" hidden="0" customWidth="1"/>
    <x:col min="16" max="16" width="13" hidden="0" customWidth="1"/>
    <x:col min="17" max="17" width="11" hidden="0" customWidth="1"/>
    <x:col min="18" max="18" width="12" hidden="0" customWidth="1"/>
    <x:col min="19" max="19" width="12" hidden="0" customWidth="1"/>
    <x:col min="20" max="20" width="28" hidden="0" customWidth="1"/>
  </x:cols>
  <x:sheetData>
    <x:row r="1" ht="28" customHeight="1">
      <x:c r="A1" s="5" t="str">
        <x:v>ValiStera  |  Quality Risk Assessment Worksheet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</x:row>
    <x:row r="2" ht="20" customHeight="1">
      <x:c r="A2" s="11" t="str">
        <x:v>VALISTERA KNOWLEDGE LIBRARY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</x:row>
    <x:row r="4" ht="24" customHeight="1">
      <x:c r="A4" s="20" t="str">
        <x:v>Resource code</x:v>
      </x:c>
      <x:c r="B4" s="16" t="str">
        <x:v>VSR-QRM-WS-003</x:v>
      </x:c>
      <x:c r="C4" s="20" t="str">
        <x:v>Version</x:v>
      </x:c>
      <x:c r="D4" s="16" t="str">
        <x:v>9.0</x:v>
      </x:c>
      <x:c r="E4" s="20" t="str">
        <x:v>Issue date</x:v>
      </x:c>
      <x:c r="F4" s="16" t="str">
        <x:v>October 2026</x:v>
      </x:c>
      <x:c r="H4" s="26" t="str">
        <x:v>Purpose: document hazards, risk evaluation, mitigation, ownership and residual-risk review. Use a science- and knowledge-based approach; effort and documentation should be proportionate to risk.</x:v>
      </x:c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  <x:c r="T4" s="26"/>
    </x:row>
    <x:row r="5" ht="24" customHeight="1">
      <x:c r="A5" s="20" t="str">
        <x:v>Primary basis</x:v>
      </x:c>
      <x:c r="B5" s="16" t="str">
        <x:v>ICH Q9(R1)</x:v>
      </x:c>
      <x:c r="C5" s="20" t="str">
        <x:v>Format</x:v>
      </x:c>
      <x:c r="D5" s="16" t="str">
        <x:v>XLSX working worksheet</x:v>
      </x:c>
      <x:c r="E5" s="20" t="str">
        <x:v>Use</x:v>
      </x:c>
      <x:c r="F5" s="16" t="str">
        <x:v>Quality risk assessment</x:v>
      </x:c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  <x:c r="T5" s="26"/>
    </x:row>
    <x:row r="8" ht="36" customHeight="1">
      <x:c r="A8" s="34" t="str">
        <x:v>ID</x:v>
      </x:c>
      <x:c r="B8" s="34" t="str">
        <x:v>Process / System / Activity</x:v>
      </x:c>
      <x:c r="C8" s="34" t="str">
        <x:v>Hazard / Failure Mode</x:v>
      </x:c>
      <x:c r="D8" s="34" t="str">
        <x:v>Potential Effect</x:v>
      </x:c>
      <x:c r="E8" s="34" t="str">
        <x:v>Existing Controls</x:v>
      </x:c>
      <x:c r="F8" s="34" t="str">
        <x:v>Severity</x:v>
      </x:c>
      <x:c r="G8" s="34" t="str">
        <x:v>Occurrence</x:v>
      </x:c>
      <x:c r="H8" s="34" t="str">
        <x:v>Detectability</x:v>
      </x:c>
      <x:c r="I8" s="34" t="str">
        <x:v>Initial RPN</x:v>
      </x:c>
      <x:c r="J8" s="34" t="str">
        <x:v>Risk Classification</x:v>
      </x:c>
      <x:c r="K8" s="34" t="str">
        <x:v>Mitigation / Action</x:v>
      </x:c>
      <x:c r="L8" s="34" t="str">
        <x:v>Owner</x:v>
      </x:c>
      <x:c r="M8" s="34" t="str">
        <x:v>Target Date</x:v>
      </x:c>
      <x:c r="N8" s="34" t="str">
        <x:v>Residual Severity</x:v>
      </x:c>
      <x:c r="O8" s="34" t="str">
        <x:v>Residual Occurrence</x:v>
      </x:c>
      <x:c r="P8" s="34" t="str">
        <x:v>Residual Detectability</x:v>
      </x:c>
      <x:c r="Q8" s="34" t="str">
        <x:v>Residual RPN</x:v>
      </x:c>
      <x:c r="R8" s="34" t="str">
        <x:v>Residual Risk</x:v>
      </x:c>
      <x:c r="S8" s="34" t="str">
        <x:v>Status</x:v>
      </x:c>
      <x:c r="T8" s="34" t="str">
        <x:v>Evidence / Comments</x:v>
      </x:c>
    </x:row>
    <x:row r="9">
      <x:c r="A9" s="53" t="n">
        <x:v>1</x:v>
      </x:c>
      <x:c r="B9" s="45" t="str"/>
      <x:c r="C9" s="45" t="str"/>
      <x:c r="D9" s="45" t="str"/>
      <x:c r="E9" s="45" t="str"/>
      <x:c r="F9" s="53" t="str"/>
      <x:c r="G9" s="53" t="str"/>
      <x:c r="H9" s="53" t="str"/>
      <x:c r="I9" s="53" t="str">
        <x:f>IF(OR(F9="",G9="",H9=""),"",F9*G9*H9)</x:f>
      </x:c>
      <x:c r="J9" s="53" t="str">
        <x:f>IF(I9="","",IF(I9&gt;=50,"High",IF(I9&gt;=20,"Medium","Low")))</x:f>
      </x:c>
      <x:c r="K9" s="45" t="str"/>
      <x:c r="L9" s="45" t="str"/>
      <x:c r="M9" s="46" t="str"/>
      <x:c r="N9" s="53" t="str"/>
      <x:c r="O9" s="53" t="str"/>
      <x:c r="P9" s="53" t="str"/>
      <x:c r="Q9" s="53" t="str">
        <x:f>IF(OR(N9="",O9="",P9=""),"",N9*O9*P9)</x:f>
      </x:c>
      <x:c r="R9" s="53" t="str">
        <x:f>IF(Q9="","",IF(Q9&gt;=50,"High",IF(Q9&gt;=20,"Medium","Low")))</x:f>
      </x:c>
      <x:c r="S9" s="53" t="str">
        <x:v>Open</x:v>
      </x:c>
      <x:c r="T9" s="45" t="str"/>
    </x:row>
    <x:row r="10">
      <x:c r="A10" s="53" t="n">
        <x:v>2</x:v>
      </x:c>
      <x:c r="B10" s="45" t="str"/>
      <x:c r="C10" s="45" t="str"/>
      <x:c r="D10" s="45" t="str"/>
      <x:c r="E10" s="45" t="str"/>
      <x:c r="F10" s="53" t="str"/>
      <x:c r="G10" s="53" t="str"/>
      <x:c r="H10" s="53" t="str"/>
      <x:c r="I10" s="53" t="str">
        <x:f>IF(OR(F10="",G10="",H10=""),"",F10*G10*H10)</x:f>
      </x:c>
      <x:c r="J10" s="53" t="str">
        <x:f>IF(I10="","",IF(I10&gt;=50,"High",IF(I10&gt;=20,"Medium","Low")))</x:f>
      </x:c>
      <x:c r="K10" s="45" t="str"/>
      <x:c r="L10" s="45" t="str"/>
      <x:c r="M10" s="46" t="str"/>
      <x:c r="N10" s="53" t="str"/>
      <x:c r="O10" s="53" t="str"/>
      <x:c r="P10" s="53" t="str"/>
      <x:c r="Q10" s="53" t="str">
        <x:f>IF(OR(N10="",O10="",P10=""),"",N10*O10*P10)</x:f>
      </x:c>
      <x:c r="R10" s="53" t="str">
        <x:f>IF(Q10="","",IF(Q10&gt;=50,"High",IF(Q10&gt;=20,"Medium","Low")))</x:f>
      </x:c>
      <x:c r="S10" s="53" t="str">
        <x:v>Open</x:v>
      </x:c>
      <x:c r="T10" s="45" t="str"/>
    </x:row>
    <x:row r="11">
      <x:c r="A11" s="53" t="n">
        <x:v>3</x:v>
      </x:c>
      <x:c r="B11" s="45" t="str"/>
      <x:c r="C11" s="45" t="str"/>
      <x:c r="D11" s="45" t="str"/>
      <x:c r="E11" s="45" t="str"/>
      <x:c r="F11" s="53" t="str"/>
      <x:c r="G11" s="53" t="str"/>
      <x:c r="H11" s="53" t="str"/>
      <x:c r="I11" s="53" t="str">
        <x:f>IF(OR(F11="",G11="",H11=""),"",F11*G11*H11)</x:f>
      </x:c>
      <x:c r="J11" s="53" t="str">
        <x:f>IF(I11="","",IF(I11&gt;=50,"High",IF(I11&gt;=20,"Medium","Low")))</x:f>
      </x:c>
      <x:c r="K11" s="45" t="str"/>
      <x:c r="L11" s="45" t="str"/>
      <x:c r="M11" s="46" t="str"/>
      <x:c r="N11" s="53" t="str"/>
      <x:c r="O11" s="53" t="str"/>
      <x:c r="P11" s="53" t="str"/>
      <x:c r="Q11" s="53" t="str">
        <x:f>IF(OR(N11="",O11="",P11=""),"",N11*O11*P11)</x:f>
      </x:c>
      <x:c r="R11" s="53" t="str">
        <x:f>IF(Q11="","",IF(Q11&gt;=50,"High",IF(Q11&gt;=20,"Medium","Low")))</x:f>
      </x:c>
      <x:c r="S11" s="53" t="str">
        <x:v>Open</x:v>
      </x:c>
      <x:c r="T11" s="45" t="str"/>
    </x:row>
    <x:row r="12">
      <x:c r="A12" s="53" t="n">
        <x:v>4</x:v>
      </x:c>
      <x:c r="B12" s="45" t="str"/>
      <x:c r="C12" s="45" t="str"/>
      <x:c r="D12" s="45" t="str"/>
      <x:c r="E12" s="45" t="str"/>
      <x:c r="F12" s="53" t="str"/>
      <x:c r="G12" s="53" t="str"/>
      <x:c r="H12" s="53" t="str"/>
      <x:c r="I12" s="53" t="str">
        <x:f>IF(OR(F12="",G12="",H12=""),"",F12*G12*H12)</x:f>
      </x:c>
      <x:c r="J12" s="53" t="str">
        <x:f>IF(I12="","",IF(I12&gt;=50,"High",IF(I12&gt;=20,"Medium","Low")))</x:f>
      </x:c>
      <x:c r="K12" s="45" t="str"/>
      <x:c r="L12" s="45" t="str"/>
      <x:c r="M12" s="46" t="str"/>
      <x:c r="N12" s="53" t="str"/>
      <x:c r="O12" s="53" t="str"/>
      <x:c r="P12" s="53" t="str"/>
      <x:c r="Q12" s="53" t="str">
        <x:f>IF(OR(N12="",O12="",P12=""),"",N12*O12*P12)</x:f>
      </x:c>
      <x:c r="R12" s="53" t="str">
        <x:f>IF(Q12="","",IF(Q12&gt;=50,"High",IF(Q12&gt;=20,"Medium","Low")))</x:f>
      </x:c>
      <x:c r="S12" s="53" t="str">
        <x:v>Open</x:v>
      </x:c>
      <x:c r="T12" s="45" t="str"/>
    </x:row>
    <x:row r="13">
      <x:c r="A13" s="53" t="n">
        <x:v>5</x:v>
      </x:c>
      <x:c r="B13" s="45" t="str"/>
      <x:c r="C13" s="45" t="str"/>
      <x:c r="D13" s="45" t="str"/>
      <x:c r="E13" s="45" t="str"/>
      <x:c r="F13" s="53" t="str"/>
      <x:c r="G13" s="53" t="str"/>
      <x:c r="H13" s="53" t="str"/>
      <x:c r="I13" s="53" t="str">
        <x:f>IF(OR(F13="",G13="",H13=""),"",F13*G13*H13)</x:f>
      </x:c>
      <x:c r="J13" s="53" t="str">
        <x:f>IF(I13="","",IF(I13&gt;=50,"High",IF(I13&gt;=20,"Medium","Low")))</x:f>
      </x:c>
      <x:c r="K13" s="45" t="str"/>
      <x:c r="L13" s="45" t="str"/>
      <x:c r="M13" s="46" t="str"/>
      <x:c r="N13" s="53" t="str"/>
      <x:c r="O13" s="53" t="str"/>
      <x:c r="P13" s="53" t="str"/>
      <x:c r="Q13" s="53" t="str">
        <x:f>IF(OR(N13="",O13="",P13=""),"",N13*O13*P13)</x:f>
      </x:c>
      <x:c r="R13" s="53" t="str">
        <x:f>IF(Q13="","",IF(Q13&gt;=50,"High",IF(Q13&gt;=20,"Medium","Low")))</x:f>
      </x:c>
      <x:c r="S13" s="53" t="str">
        <x:v>Open</x:v>
      </x:c>
      <x:c r="T13" s="45" t="str"/>
    </x:row>
    <x:row r="14">
      <x:c r="A14" s="53" t="n">
        <x:v>6</x:v>
      </x:c>
      <x:c r="B14" s="45" t="str"/>
      <x:c r="C14" s="45" t="str"/>
      <x:c r="D14" s="45" t="str"/>
      <x:c r="E14" s="45" t="str"/>
      <x:c r="F14" s="53" t="str"/>
      <x:c r="G14" s="53" t="str"/>
      <x:c r="H14" s="53" t="str"/>
      <x:c r="I14" s="53" t="str">
        <x:f>IF(OR(F14="",G14="",H14=""),"",F14*G14*H14)</x:f>
      </x:c>
      <x:c r="J14" s="53" t="str">
        <x:f>IF(I14="","",IF(I14&gt;=50,"High",IF(I14&gt;=20,"Medium","Low")))</x:f>
      </x:c>
      <x:c r="K14" s="45" t="str"/>
      <x:c r="L14" s="45" t="str"/>
      <x:c r="M14" s="46" t="str"/>
      <x:c r="N14" s="53" t="str"/>
      <x:c r="O14" s="53" t="str"/>
      <x:c r="P14" s="53" t="str"/>
      <x:c r="Q14" s="53" t="str">
        <x:f>IF(OR(N14="",O14="",P14=""),"",N14*O14*P14)</x:f>
      </x:c>
      <x:c r="R14" s="53" t="str">
        <x:f>IF(Q14="","",IF(Q14&gt;=50,"High",IF(Q14&gt;=20,"Medium","Low")))</x:f>
      </x:c>
      <x:c r="S14" s="53" t="str">
        <x:v>Open</x:v>
      </x:c>
      <x:c r="T14" s="45" t="str"/>
    </x:row>
    <x:row r="15">
      <x:c r="A15" s="53" t="n">
        <x:v>7</x:v>
      </x:c>
      <x:c r="B15" s="45" t="str"/>
      <x:c r="C15" s="45" t="str"/>
      <x:c r="D15" s="45" t="str"/>
      <x:c r="E15" s="45" t="str"/>
      <x:c r="F15" s="53" t="str"/>
      <x:c r="G15" s="53" t="str"/>
      <x:c r="H15" s="53" t="str"/>
      <x:c r="I15" s="53" t="str">
        <x:f>IF(OR(F15="",G15="",H15=""),"",F15*G15*H15)</x:f>
      </x:c>
      <x:c r="J15" s="53" t="str">
        <x:f>IF(I15="","",IF(I15&gt;=50,"High",IF(I15&gt;=20,"Medium","Low")))</x:f>
      </x:c>
      <x:c r="K15" s="45" t="str"/>
      <x:c r="L15" s="45" t="str"/>
      <x:c r="M15" s="46" t="str"/>
      <x:c r="N15" s="53" t="str"/>
      <x:c r="O15" s="53" t="str"/>
      <x:c r="P15" s="53" t="str"/>
      <x:c r="Q15" s="53" t="str">
        <x:f>IF(OR(N15="",O15="",P15=""),"",N15*O15*P15)</x:f>
      </x:c>
      <x:c r="R15" s="53" t="str">
        <x:f>IF(Q15="","",IF(Q15&gt;=50,"High",IF(Q15&gt;=20,"Medium","Low")))</x:f>
      </x:c>
      <x:c r="S15" s="53" t="str">
        <x:v>Open</x:v>
      </x:c>
      <x:c r="T15" s="45" t="str"/>
    </x:row>
    <x:row r="16">
      <x:c r="A16" s="53" t="n">
        <x:v>8</x:v>
      </x:c>
      <x:c r="B16" s="45" t="str"/>
      <x:c r="C16" s="45" t="str"/>
      <x:c r="D16" s="45" t="str"/>
      <x:c r="E16" s="45" t="str"/>
      <x:c r="F16" s="53" t="str"/>
      <x:c r="G16" s="53" t="str"/>
      <x:c r="H16" s="53" t="str"/>
      <x:c r="I16" s="53" t="str">
        <x:f>IF(OR(F16="",G16="",H16=""),"",F16*G16*H16)</x:f>
      </x:c>
      <x:c r="J16" s="53" t="str">
        <x:f>IF(I16="","",IF(I16&gt;=50,"High",IF(I16&gt;=20,"Medium","Low")))</x:f>
      </x:c>
      <x:c r="K16" s="45" t="str"/>
      <x:c r="L16" s="45" t="str"/>
      <x:c r="M16" s="46" t="str"/>
      <x:c r="N16" s="53" t="str"/>
      <x:c r="O16" s="53" t="str"/>
      <x:c r="P16" s="53" t="str"/>
      <x:c r="Q16" s="53" t="str">
        <x:f>IF(OR(N16="",O16="",P16=""),"",N16*O16*P16)</x:f>
      </x:c>
      <x:c r="R16" s="53" t="str">
        <x:f>IF(Q16="","",IF(Q16&gt;=50,"High",IF(Q16&gt;=20,"Medium","Low")))</x:f>
      </x:c>
      <x:c r="S16" s="53" t="str">
        <x:v>Open</x:v>
      </x:c>
      <x:c r="T16" s="45" t="str"/>
    </x:row>
    <x:row r="17">
      <x:c r="A17" s="53" t="n">
        <x:v>9</x:v>
      </x:c>
      <x:c r="B17" s="45" t="str"/>
      <x:c r="C17" s="45" t="str"/>
      <x:c r="D17" s="45" t="str"/>
      <x:c r="E17" s="45" t="str"/>
      <x:c r="F17" s="53" t="str"/>
      <x:c r="G17" s="53" t="str"/>
      <x:c r="H17" s="53" t="str"/>
      <x:c r="I17" s="53" t="str">
        <x:f>IF(OR(F17="",G17="",H17=""),"",F17*G17*H17)</x:f>
      </x:c>
      <x:c r="J17" s="53" t="str">
        <x:f>IF(I17="","",IF(I17&gt;=50,"High",IF(I17&gt;=20,"Medium","Low")))</x:f>
      </x:c>
      <x:c r="K17" s="45" t="str"/>
      <x:c r="L17" s="45" t="str"/>
      <x:c r="M17" s="46" t="str"/>
      <x:c r="N17" s="53" t="str"/>
      <x:c r="O17" s="53" t="str"/>
      <x:c r="P17" s="53" t="str"/>
      <x:c r="Q17" s="53" t="str">
        <x:f>IF(OR(N17="",O17="",P17=""),"",N17*O17*P17)</x:f>
      </x:c>
      <x:c r="R17" s="53" t="str">
        <x:f>IF(Q17="","",IF(Q17&gt;=50,"High",IF(Q17&gt;=20,"Medium","Low")))</x:f>
      </x:c>
      <x:c r="S17" s="53" t="str">
        <x:v>Open</x:v>
      </x:c>
      <x:c r="T17" s="45" t="str"/>
    </x:row>
    <x:row r="18">
      <x:c r="A18" s="53" t="n">
        <x:v>10</x:v>
      </x:c>
      <x:c r="B18" s="45" t="str"/>
      <x:c r="C18" s="45" t="str"/>
      <x:c r="D18" s="45" t="str"/>
      <x:c r="E18" s="45" t="str"/>
      <x:c r="F18" s="53" t="str"/>
      <x:c r="G18" s="53" t="str"/>
      <x:c r="H18" s="53" t="str"/>
      <x:c r="I18" s="53" t="str">
        <x:f>IF(OR(F18="",G18="",H18=""),"",F18*G18*H18)</x:f>
      </x:c>
      <x:c r="J18" s="53" t="str">
        <x:f>IF(I18="","",IF(I18&gt;=50,"High",IF(I18&gt;=20,"Medium","Low")))</x:f>
      </x:c>
      <x:c r="K18" s="45" t="str"/>
      <x:c r="L18" s="45" t="str"/>
      <x:c r="M18" s="46" t="str"/>
      <x:c r="N18" s="53" t="str"/>
      <x:c r="O18" s="53" t="str"/>
      <x:c r="P18" s="53" t="str"/>
      <x:c r="Q18" s="53" t="str">
        <x:f>IF(OR(N18="",O18="",P18=""),"",N18*O18*P18)</x:f>
      </x:c>
      <x:c r="R18" s="53" t="str">
        <x:f>IF(Q18="","",IF(Q18&gt;=50,"High",IF(Q18&gt;=20,"Medium","Low")))</x:f>
      </x:c>
      <x:c r="S18" s="53" t="str">
        <x:v>Open</x:v>
      </x:c>
      <x:c r="T18" s="45" t="str"/>
    </x:row>
    <x:row r="19">
      <x:c r="A19" s="53" t="n">
        <x:v>11</x:v>
      </x:c>
      <x:c r="B19" s="45" t="str"/>
      <x:c r="C19" s="45" t="str"/>
      <x:c r="D19" s="45" t="str"/>
      <x:c r="E19" s="45" t="str"/>
      <x:c r="F19" s="53" t="str"/>
      <x:c r="G19" s="53" t="str"/>
      <x:c r="H19" s="53" t="str"/>
      <x:c r="I19" s="53" t="str">
        <x:f>IF(OR(F19="",G19="",H19=""),"",F19*G19*H19)</x:f>
      </x:c>
      <x:c r="J19" s="53" t="str">
        <x:f>IF(I19="","",IF(I19&gt;=50,"High",IF(I19&gt;=20,"Medium","Low")))</x:f>
      </x:c>
      <x:c r="K19" s="45" t="str"/>
      <x:c r="L19" s="45" t="str"/>
      <x:c r="M19" s="46" t="str"/>
      <x:c r="N19" s="53" t="str"/>
      <x:c r="O19" s="53" t="str"/>
      <x:c r="P19" s="53" t="str"/>
      <x:c r="Q19" s="53" t="str">
        <x:f>IF(OR(N19="",O19="",P19=""),"",N19*O19*P19)</x:f>
      </x:c>
      <x:c r="R19" s="53" t="str">
        <x:f>IF(Q19="","",IF(Q19&gt;=50,"High",IF(Q19&gt;=20,"Medium","Low")))</x:f>
      </x:c>
      <x:c r="S19" s="53" t="str">
        <x:v>Open</x:v>
      </x:c>
      <x:c r="T19" s="45" t="str"/>
    </x:row>
    <x:row r="20">
      <x:c r="A20" s="53" t="n">
        <x:v>12</x:v>
      </x:c>
      <x:c r="B20" s="45" t="str"/>
      <x:c r="C20" s="45" t="str"/>
      <x:c r="D20" s="45" t="str"/>
      <x:c r="E20" s="45" t="str"/>
      <x:c r="F20" s="53" t="str"/>
      <x:c r="G20" s="53" t="str"/>
      <x:c r="H20" s="53" t="str"/>
      <x:c r="I20" s="53" t="str">
        <x:f>IF(OR(F20="",G20="",H20=""),"",F20*G20*H20)</x:f>
      </x:c>
      <x:c r="J20" s="53" t="str">
        <x:f>IF(I20="","",IF(I20&gt;=50,"High",IF(I20&gt;=20,"Medium","Low")))</x:f>
      </x:c>
      <x:c r="K20" s="45" t="str"/>
      <x:c r="L20" s="45" t="str"/>
      <x:c r="M20" s="46" t="str"/>
      <x:c r="N20" s="53" t="str"/>
      <x:c r="O20" s="53" t="str"/>
      <x:c r="P20" s="53" t="str"/>
      <x:c r="Q20" s="53" t="str">
        <x:f>IF(OR(N20="",O20="",P20=""),"",N20*O20*P20)</x:f>
      </x:c>
      <x:c r="R20" s="53" t="str">
        <x:f>IF(Q20="","",IF(Q20&gt;=50,"High",IF(Q20&gt;=20,"Medium","Low")))</x:f>
      </x:c>
      <x:c r="S20" s="53" t="str">
        <x:v>Open</x:v>
      </x:c>
      <x:c r="T20" s="45" t="str"/>
    </x:row>
    <x:row r="21">
      <x:c r="A21" s="53" t="n">
        <x:v>13</x:v>
      </x:c>
      <x:c r="B21" s="45" t="str"/>
      <x:c r="C21" s="45" t="str"/>
      <x:c r="D21" s="45" t="str"/>
      <x:c r="E21" s="45" t="str"/>
      <x:c r="F21" s="53" t="str"/>
      <x:c r="G21" s="53" t="str"/>
      <x:c r="H21" s="53" t="str"/>
      <x:c r="I21" s="53" t="str">
        <x:f>IF(OR(F21="",G21="",H21=""),"",F21*G21*H21)</x:f>
      </x:c>
      <x:c r="J21" s="53" t="str">
        <x:f>IF(I21="","",IF(I21&gt;=50,"High",IF(I21&gt;=20,"Medium","Low")))</x:f>
      </x:c>
      <x:c r="K21" s="45" t="str"/>
      <x:c r="L21" s="45" t="str"/>
      <x:c r="M21" s="46" t="str"/>
      <x:c r="N21" s="53" t="str"/>
      <x:c r="O21" s="53" t="str"/>
      <x:c r="P21" s="53" t="str"/>
      <x:c r="Q21" s="53" t="str">
        <x:f>IF(OR(N21="",O21="",P21=""),"",N21*O21*P21)</x:f>
      </x:c>
      <x:c r="R21" s="53" t="str">
        <x:f>IF(Q21="","",IF(Q21&gt;=50,"High",IF(Q21&gt;=20,"Medium","Low")))</x:f>
      </x:c>
      <x:c r="S21" s="53" t="str">
        <x:v>Open</x:v>
      </x:c>
      <x:c r="T21" s="45" t="str"/>
    </x:row>
    <x:row r="22">
      <x:c r="A22" s="53" t="n">
        <x:v>14</x:v>
      </x:c>
      <x:c r="B22" s="45" t="str"/>
      <x:c r="C22" s="45" t="str"/>
      <x:c r="D22" s="45" t="str"/>
      <x:c r="E22" s="45" t="str"/>
      <x:c r="F22" s="53" t="str"/>
      <x:c r="G22" s="53" t="str"/>
      <x:c r="H22" s="53" t="str"/>
      <x:c r="I22" s="53" t="str">
        <x:f>IF(OR(F22="",G22="",H22=""),"",F22*G22*H22)</x:f>
      </x:c>
      <x:c r="J22" s="53" t="str">
        <x:f>IF(I22="","",IF(I22&gt;=50,"High",IF(I22&gt;=20,"Medium","Low")))</x:f>
      </x:c>
      <x:c r="K22" s="45" t="str"/>
      <x:c r="L22" s="45" t="str"/>
      <x:c r="M22" s="46" t="str"/>
      <x:c r="N22" s="53" t="str"/>
      <x:c r="O22" s="53" t="str"/>
      <x:c r="P22" s="53" t="str"/>
      <x:c r="Q22" s="53" t="str">
        <x:f>IF(OR(N22="",O22="",P22=""),"",N22*O22*P22)</x:f>
      </x:c>
      <x:c r="R22" s="53" t="str">
        <x:f>IF(Q22="","",IF(Q22&gt;=50,"High",IF(Q22&gt;=20,"Medium","Low")))</x:f>
      </x:c>
      <x:c r="S22" s="53" t="str">
        <x:v>Open</x:v>
      </x:c>
      <x:c r="T22" s="45" t="str"/>
    </x:row>
    <x:row r="23">
      <x:c r="A23" s="53" t="n">
        <x:v>15</x:v>
      </x:c>
      <x:c r="B23" s="45" t="str"/>
      <x:c r="C23" s="45" t="str"/>
      <x:c r="D23" s="45" t="str"/>
      <x:c r="E23" s="45" t="str"/>
      <x:c r="F23" s="53" t="str"/>
      <x:c r="G23" s="53" t="str"/>
      <x:c r="H23" s="53" t="str"/>
      <x:c r="I23" s="53" t="str">
        <x:f>IF(OR(F23="",G23="",H23=""),"",F23*G23*H23)</x:f>
      </x:c>
      <x:c r="J23" s="53" t="str">
        <x:f>IF(I23="","",IF(I23&gt;=50,"High",IF(I23&gt;=20,"Medium","Low")))</x:f>
      </x:c>
      <x:c r="K23" s="45" t="str"/>
      <x:c r="L23" s="45" t="str"/>
      <x:c r="M23" s="46" t="str"/>
      <x:c r="N23" s="53" t="str"/>
      <x:c r="O23" s="53" t="str"/>
      <x:c r="P23" s="53" t="str"/>
      <x:c r="Q23" s="53" t="str">
        <x:f>IF(OR(N23="",O23="",P23=""),"",N23*O23*P23)</x:f>
      </x:c>
      <x:c r="R23" s="53" t="str">
        <x:f>IF(Q23="","",IF(Q23&gt;=50,"High",IF(Q23&gt;=20,"Medium","Low")))</x:f>
      </x:c>
      <x:c r="S23" s="53" t="str">
        <x:v>Open</x:v>
      </x:c>
      <x:c r="T23" s="45" t="str"/>
    </x:row>
    <x:row r="24">
      <x:c r="A24" s="53" t="n">
        <x:v>16</x:v>
      </x:c>
      <x:c r="B24" s="45" t="str"/>
      <x:c r="C24" s="45" t="str"/>
      <x:c r="D24" s="45" t="str"/>
      <x:c r="E24" s="45" t="str"/>
      <x:c r="F24" s="53" t="str"/>
      <x:c r="G24" s="53" t="str"/>
      <x:c r="H24" s="53" t="str"/>
      <x:c r="I24" s="53" t="str">
        <x:f>IF(OR(F24="",G24="",H24=""),"",F24*G24*H24)</x:f>
      </x:c>
      <x:c r="J24" s="53" t="str">
        <x:f>IF(I24="","",IF(I24&gt;=50,"High",IF(I24&gt;=20,"Medium","Low")))</x:f>
      </x:c>
      <x:c r="K24" s="45" t="str"/>
      <x:c r="L24" s="45" t="str"/>
      <x:c r="M24" s="46" t="str"/>
      <x:c r="N24" s="53" t="str"/>
      <x:c r="O24" s="53" t="str"/>
      <x:c r="P24" s="53" t="str"/>
      <x:c r="Q24" s="53" t="str">
        <x:f>IF(OR(N24="",O24="",P24=""),"",N24*O24*P24)</x:f>
      </x:c>
      <x:c r="R24" s="53" t="str">
        <x:f>IF(Q24="","",IF(Q24&gt;=50,"High",IF(Q24&gt;=20,"Medium","Low")))</x:f>
      </x:c>
      <x:c r="S24" s="53" t="str">
        <x:v>Open</x:v>
      </x:c>
      <x:c r="T24" s="45" t="str"/>
    </x:row>
    <x:row r="25">
      <x:c r="A25" s="53" t="n">
        <x:v>17</x:v>
      </x:c>
      <x:c r="B25" s="45" t="str"/>
      <x:c r="C25" s="45" t="str"/>
      <x:c r="D25" s="45" t="str"/>
      <x:c r="E25" s="45" t="str"/>
      <x:c r="F25" s="53" t="str"/>
      <x:c r="G25" s="53" t="str"/>
      <x:c r="H25" s="53" t="str"/>
      <x:c r="I25" s="53" t="str">
        <x:f>IF(OR(F25="",G25="",H25=""),"",F25*G25*H25)</x:f>
      </x:c>
      <x:c r="J25" s="53" t="str">
        <x:f>IF(I25="","",IF(I25&gt;=50,"High",IF(I25&gt;=20,"Medium","Low")))</x:f>
      </x:c>
      <x:c r="K25" s="45" t="str"/>
      <x:c r="L25" s="45" t="str"/>
      <x:c r="M25" s="46" t="str"/>
      <x:c r="N25" s="53" t="str"/>
      <x:c r="O25" s="53" t="str"/>
      <x:c r="P25" s="53" t="str"/>
      <x:c r="Q25" s="53" t="str">
        <x:f>IF(OR(N25="",O25="",P25=""),"",N25*O25*P25)</x:f>
      </x:c>
      <x:c r="R25" s="53" t="str">
        <x:f>IF(Q25="","",IF(Q25&gt;=50,"High",IF(Q25&gt;=20,"Medium","Low")))</x:f>
      </x:c>
      <x:c r="S25" s="53" t="str">
        <x:v>Open</x:v>
      </x:c>
      <x:c r="T25" s="45" t="str"/>
    </x:row>
    <x:row r="26">
      <x:c r="A26" s="53" t="n">
        <x:v>18</x:v>
      </x:c>
      <x:c r="B26" s="45" t="str"/>
      <x:c r="C26" s="45" t="str"/>
      <x:c r="D26" s="45" t="str"/>
      <x:c r="E26" s="45" t="str"/>
      <x:c r="F26" s="53" t="str"/>
      <x:c r="G26" s="53" t="str"/>
      <x:c r="H26" s="53" t="str"/>
      <x:c r="I26" s="53" t="str">
        <x:f>IF(OR(F26="",G26="",H26=""),"",F26*G26*H26)</x:f>
      </x:c>
      <x:c r="J26" s="53" t="str">
        <x:f>IF(I26="","",IF(I26&gt;=50,"High",IF(I26&gt;=20,"Medium","Low")))</x:f>
      </x:c>
      <x:c r="K26" s="45" t="str"/>
      <x:c r="L26" s="45" t="str"/>
      <x:c r="M26" s="46" t="str"/>
      <x:c r="N26" s="53" t="str"/>
      <x:c r="O26" s="53" t="str"/>
      <x:c r="P26" s="53" t="str"/>
      <x:c r="Q26" s="53" t="str">
        <x:f>IF(OR(N26="",O26="",P26=""),"",N26*O26*P26)</x:f>
      </x:c>
      <x:c r="R26" s="53" t="str">
        <x:f>IF(Q26="","",IF(Q26&gt;=50,"High",IF(Q26&gt;=20,"Medium","Low")))</x:f>
      </x:c>
      <x:c r="S26" s="53" t="str">
        <x:v>Open</x:v>
      </x:c>
      <x:c r="T26" s="45" t="str"/>
    </x:row>
    <x:row r="27">
      <x:c r="A27" s="53" t="n">
        <x:v>19</x:v>
      </x:c>
      <x:c r="B27" s="45" t="str"/>
      <x:c r="C27" s="45" t="str"/>
      <x:c r="D27" s="45" t="str"/>
      <x:c r="E27" s="45" t="str"/>
      <x:c r="F27" s="53" t="str"/>
      <x:c r="G27" s="53" t="str"/>
      <x:c r="H27" s="53" t="str"/>
      <x:c r="I27" s="53" t="str">
        <x:f>IF(OR(F27="",G27="",H27=""),"",F27*G27*H27)</x:f>
      </x:c>
      <x:c r="J27" s="53" t="str">
        <x:f>IF(I27="","",IF(I27&gt;=50,"High",IF(I27&gt;=20,"Medium","Low")))</x:f>
      </x:c>
      <x:c r="K27" s="45" t="str"/>
      <x:c r="L27" s="45" t="str"/>
      <x:c r="M27" s="46" t="str"/>
      <x:c r="N27" s="53" t="str"/>
      <x:c r="O27" s="53" t="str"/>
      <x:c r="P27" s="53" t="str"/>
      <x:c r="Q27" s="53" t="str">
        <x:f>IF(OR(N27="",O27="",P27=""),"",N27*O27*P27)</x:f>
      </x:c>
      <x:c r="R27" s="53" t="str">
        <x:f>IF(Q27="","",IF(Q27&gt;=50,"High",IF(Q27&gt;=20,"Medium","Low")))</x:f>
      </x:c>
      <x:c r="S27" s="53" t="str">
        <x:v>Open</x:v>
      </x:c>
      <x:c r="T27" s="45" t="str"/>
    </x:row>
    <x:row r="28">
      <x:c r="A28" s="53" t="n">
        <x:v>20</x:v>
      </x:c>
      <x:c r="B28" s="45" t="str"/>
      <x:c r="C28" s="45" t="str"/>
      <x:c r="D28" s="45" t="str"/>
      <x:c r="E28" s="45" t="str"/>
      <x:c r="F28" s="53" t="str"/>
      <x:c r="G28" s="53" t="str"/>
      <x:c r="H28" s="53" t="str"/>
      <x:c r="I28" s="53" t="str">
        <x:f>IF(OR(F28="",G28="",H28=""),"",F28*G28*H28)</x:f>
      </x:c>
      <x:c r="J28" s="53" t="str">
        <x:f>IF(I28="","",IF(I28&gt;=50,"High",IF(I28&gt;=20,"Medium","Low")))</x:f>
      </x:c>
      <x:c r="K28" s="45" t="str"/>
      <x:c r="L28" s="45" t="str"/>
      <x:c r="M28" s="46" t="str"/>
      <x:c r="N28" s="53" t="str"/>
      <x:c r="O28" s="53" t="str"/>
      <x:c r="P28" s="53" t="str"/>
      <x:c r="Q28" s="53" t="str">
        <x:f>IF(OR(N28="",O28="",P28=""),"",N28*O28*P28)</x:f>
      </x:c>
      <x:c r="R28" s="53" t="str">
        <x:f>IF(Q28="","",IF(Q28&gt;=50,"High",IF(Q28&gt;=20,"Medium","Low")))</x:f>
      </x:c>
      <x:c r="S28" s="53" t="str">
        <x:v>Open</x:v>
      </x:c>
      <x:c r="T28" s="45" t="str"/>
    </x:row>
    <x:row r="29">
      <x:c r="A29" s="53" t="n">
        <x:v>21</x:v>
      </x:c>
      <x:c r="B29" s="45" t="str"/>
      <x:c r="C29" s="45" t="str"/>
      <x:c r="D29" s="45" t="str"/>
      <x:c r="E29" s="45" t="str"/>
      <x:c r="F29" s="53" t="str"/>
      <x:c r="G29" s="53" t="str"/>
      <x:c r="H29" s="53" t="str"/>
      <x:c r="I29" s="53" t="str">
        <x:f>IF(OR(F29="",G29="",H29=""),"",F29*G29*H29)</x:f>
      </x:c>
      <x:c r="J29" s="53" t="str">
        <x:f>IF(I29="","",IF(I29&gt;=50,"High",IF(I29&gt;=20,"Medium","Low")))</x:f>
      </x:c>
      <x:c r="K29" s="45" t="str"/>
      <x:c r="L29" s="45" t="str"/>
      <x:c r="M29" s="46" t="str"/>
      <x:c r="N29" s="53" t="str"/>
      <x:c r="O29" s="53" t="str"/>
      <x:c r="P29" s="53" t="str"/>
      <x:c r="Q29" s="53" t="str">
        <x:f>IF(OR(N29="",O29="",P29=""),"",N29*O29*P29)</x:f>
      </x:c>
      <x:c r="R29" s="53" t="str">
        <x:f>IF(Q29="","",IF(Q29&gt;=50,"High",IF(Q29&gt;=20,"Medium","Low")))</x:f>
      </x:c>
      <x:c r="S29" s="53" t="str">
        <x:v>Open</x:v>
      </x:c>
      <x:c r="T29" s="45" t="str"/>
    </x:row>
    <x:row r="30">
      <x:c r="A30" s="53" t="n">
        <x:v>22</x:v>
      </x:c>
      <x:c r="B30" s="45" t="str"/>
      <x:c r="C30" s="45" t="str"/>
      <x:c r="D30" s="45" t="str"/>
      <x:c r="E30" s="45" t="str"/>
      <x:c r="F30" s="53" t="str"/>
      <x:c r="G30" s="53" t="str"/>
      <x:c r="H30" s="53" t="str"/>
      <x:c r="I30" s="53" t="str">
        <x:f>IF(OR(F30="",G30="",H30=""),"",F30*G30*H30)</x:f>
      </x:c>
      <x:c r="J30" s="53" t="str">
        <x:f>IF(I30="","",IF(I30&gt;=50,"High",IF(I30&gt;=20,"Medium","Low")))</x:f>
      </x:c>
      <x:c r="K30" s="45" t="str"/>
      <x:c r="L30" s="45" t="str"/>
      <x:c r="M30" s="46" t="str"/>
      <x:c r="N30" s="53" t="str"/>
      <x:c r="O30" s="53" t="str"/>
      <x:c r="P30" s="53" t="str"/>
      <x:c r="Q30" s="53" t="str">
        <x:f>IF(OR(N30="",O30="",P30=""),"",N30*O30*P30)</x:f>
      </x:c>
      <x:c r="R30" s="53" t="str">
        <x:f>IF(Q30="","",IF(Q30&gt;=50,"High",IF(Q30&gt;=20,"Medium","Low")))</x:f>
      </x:c>
      <x:c r="S30" s="53" t="str">
        <x:v>Open</x:v>
      </x:c>
      <x:c r="T30" s="45" t="str"/>
    </x:row>
    <x:row r="31">
      <x:c r="A31" s="53" t="n">
        <x:v>23</x:v>
      </x:c>
      <x:c r="B31" s="45" t="str"/>
      <x:c r="C31" s="45" t="str"/>
      <x:c r="D31" s="45" t="str"/>
      <x:c r="E31" s="45" t="str"/>
      <x:c r="F31" s="53" t="str"/>
      <x:c r="G31" s="53" t="str"/>
      <x:c r="H31" s="53" t="str"/>
      <x:c r="I31" s="53" t="str">
        <x:f>IF(OR(F31="",G31="",H31=""),"",F31*G31*H31)</x:f>
      </x:c>
      <x:c r="J31" s="53" t="str">
        <x:f>IF(I31="","",IF(I31&gt;=50,"High",IF(I31&gt;=20,"Medium","Low")))</x:f>
      </x:c>
      <x:c r="K31" s="45" t="str"/>
      <x:c r="L31" s="45" t="str"/>
      <x:c r="M31" s="46" t="str"/>
      <x:c r="N31" s="53" t="str"/>
      <x:c r="O31" s="53" t="str"/>
      <x:c r="P31" s="53" t="str"/>
      <x:c r="Q31" s="53" t="str">
        <x:f>IF(OR(N31="",O31="",P31=""),"",N31*O31*P31)</x:f>
      </x:c>
      <x:c r="R31" s="53" t="str">
        <x:f>IF(Q31="","",IF(Q31&gt;=50,"High",IF(Q31&gt;=20,"Medium","Low")))</x:f>
      </x:c>
      <x:c r="S31" s="53" t="str">
        <x:v>Open</x:v>
      </x:c>
      <x:c r="T31" s="45" t="str"/>
    </x:row>
    <x:row r="32">
      <x:c r="A32" s="53" t="n">
        <x:v>24</x:v>
      </x:c>
      <x:c r="B32" s="45" t="str"/>
      <x:c r="C32" s="45" t="str"/>
      <x:c r="D32" s="45" t="str"/>
      <x:c r="E32" s="45" t="str"/>
      <x:c r="F32" s="53" t="str"/>
      <x:c r="G32" s="53" t="str"/>
      <x:c r="H32" s="53" t="str"/>
      <x:c r="I32" s="53" t="str">
        <x:f>IF(OR(F32="",G32="",H32=""),"",F32*G32*H32)</x:f>
      </x:c>
      <x:c r="J32" s="53" t="str">
        <x:f>IF(I32="","",IF(I32&gt;=50,"High",IF(I32&gt;=20,"Medium","Low")))</x:f>
      </x:c>
      <x:c r="K32" s="45" t="str"/>
      <x:c r="L32" s="45" t="str"/>
      <x:c r="M32" s="46" t="str"/>
      <x:c r="N32" s="53" t="str"/>
      <x:c r="O32" s="53" t="str"/>
      <x:c r="P32" s="53" t="str"/>
      <x:c r="Q32" s="53" t="str">
        <x:f>IF(OR(N32="",O32="",P32=""),"",N32*O32*P32)</x:f>
      </x:c>
      <x:c r="R32" s="53" t="str">
        <x:f>IF(Q32="","",IF(Q32&gt;=50,"High",IF(Q32&gt;=20,"Medium","Low")))</x:f>
      </x:c>
      <x:c r="S32" s="53" t="str">
        <x:v>Open</x:v>
      </x:c>
      <x:c r="T32" s="45" t="str"/>
    </x:row>
    <x:row r="33">
      <x:c r="A33" s="53" t="n">
        <x:v>25</x:v>
      </x:c>
      <x:c r="B33" s="45" t="str"/>
      <x:c r="C33" s="45" t="str"/>
      <x:c r="D33" s="45" t="str"/>
      <x:c r="E33" s="45" t="str"/>
      <x:c r="F33" s="53" t="str"/>
      <x:c r="G33" s="53" t="str"/>
      <x:c r="H33" s="53" t="str"/>
      <x:c r="I33" s="53" t="str">
        <x:f>IF(OR(F33="",G33="",H33=""),"",F33*G33*H33)</x:f>
      </x:c>
      <x:c r="J33" s="53" t="str">
        <x:f>IF(I33="","",IF(I33&gt;=50,"High",IF(I33&gt;=20,"Medium","Low")))</x:f>
      </x:c>
      <x:c r="K33" s="45" t="str"/>
      <x:c r="L33" s="45" t="str"/>
      <x:c r="M33" s="46" t="str"/>
      <x:c r="N33" s="53" t="str"/>
      <x:c r="O33" s="53" t="str"/>
      <x:c r="P33" s="53" t="str"/>
      <x:c r="Q33" s="53" t="str">
        <x:f>IF(OR(N33="",O33="",P33=""),"",N33*O33*P33)</x:f>
      </x:c>
      <x:c r="R33" s="53" t="str">
        <x:f>IF(Q33="","",IF(Q33&gt;=50,"High",IF(Q33&gt;=20,"Medium","Low")))</x:f>
      </x:c>
      <x:c r="S33" s="53" t="str">
        <x:v>Open</x:v>
      </x:c>
      <x:c r="T33" s="45" t="str"/>
    </x:row>
    <x:row r="34">
      <x:c r="A34" s="53" t="n">
        <x:v>26</x:v>
      </x:c>
      <x:c r="B34" s="45" t="str"/>
      <x:c r="C34" s="45" t="str"/>
      <x:c r="D34" s="45" t="str"/>
      <x:c r="E34" s="45" t="str"/>
      <x:c r="F34" s="53" t="str"/>
      <x:c r="G34" s="53" t="str"/>
      <x:c r="H34" s="53" t="str"/>
      <x:c r="I34" s="53" t="str">
        <x:f>IF(OR(F34="",G34="",H34=""),"",F34*G34*H34)</x:f>
      </x:c>
      <x:c r="J34" s="53" t="str">
        <x:f>IF(I34="","",IF(I34&gt;=50,"High",IF(I34&gt;=20,"Medium","Low")))</x:f>
      </x:c>
      <x:c r="K34" s="45" t="str"/>
      <x:c r="L34" s="45" t="str"/>
      <x:c r="M34" s="46" t="str"/>
      <x:c r="N34" s="53" t="str"/>
      <x:c r="O34" s="53" t="str"/>
      <x:c r="P34" s="53" t="str"/>
      <x:c r="Q34" s="53" t="str">
        <x:f>IF(OR(N34="",O34="",P34=""),"",N34*O34*P34)</x:f>
      </x:c>
      <x:c r="R34" s="53" t="str">
        <x:f>IF(Q34="","",IF(Q34&gt;=50,"High",IF(Q34&gt;=20,"Medium","Low")))</x:f>
      </x:c>
      <x:c r="S34" s="53" t="str">
        <x:v>Open</x:v>
      </x:c>
      <x:c r="T34" s="45" t="str"/>
    </x:row>
    <x:row r="35">
      <x:c r="A35" s="53" t="n">
        <x:v>27</x:v>
      </x:c>
      <x:c r="B35" s="45" t="str"/>
      <x:c r="C35" s="45" t="str"/>
      <x:c r="D35" s="45" t="str"/>
      <x:c r="E35" s="45" t="str"/>
      <x:c r="F35" s="53" t="str"/>
      <x:c r="G35" s="53" t="str"/>
      <x:c r="H35" s="53" t="str"/>
      <x:c r="I35" s="53" t="str">
        <x:f>IF(OR(F35="",G35="",H35=""),"",F35*G35*H35)</x:f>
      </x:c>
      <x:c r="J35" s="53" t="str">
        <x:f>IF(I35="","",IF(I35&gt;=50,"High",IF(I35&gt;=20,"Medium","Low")))</x:f>
      </x:c>
      <x:c r="K35" s="45" t="str"/>
      <x:c r="L35" s="45" t="str"/>
      <x:c r="M35" s="46" t="str"/>
      <x:c r="N35" s="53" t="str"/>
      <x:c r="O35" s="53" t="str"/>
      <x:c r="P35" s="53" t="str"/>
      <x:c r="Q35" s="53" t="str">
        <x:f>IF(OR(N35="",O35="",P35=""),"",N35*O35*P35)</x:f>
      </x:c>
      <x:c r="R35" s="53" t="str">
        <x:f>IF(Q35="","",IF(Q35&gt;=50,"High",IF(Q35&gt;=20,"Medium","Low")))</x:f>
      </x:c>
      <x:c r="S35" s="53" t="str">
        <x:v>Open</x:v>
      </x:c>
      <x:c r="T35" s="45" t="str"/>
    </x:row>
    <x:row r="36">
      <x:c r="A36" s="53" t="n">
        <x:v>28</x:v>
      </x:c>
      <x:c r="B36" s="45" t="str"/>
      <x:c r="C36" s="45" t="str"/>
      <x:c r="D36" s="45" t="str"/>
      <x:c r="E36" s="45" t="str"/>
      <x:c r="F36" s="53" t="str"/>
      <x:c r="G36" s="53" t="str"/>
      <x:c r="H36" s="53" t="str"/>
      <x:c r="I36" s="53" t="str">
        <x:f>IF(OR(F36="",G36="",H36=""),"",F36*G36*H36)</x:f>
      </x:c>
      <x:c r="J36" s="53" t="str">
        <x:f>IF(I36="","",IF(I36&gt;=50,"High",IF(I36&gt;=20,"Medium","Low")))</x:f>
      </x:c>
      <x:c r="K36" s="45" t="str"/>
      <x:c r="L36" s="45" t="str"/>
      <x:c r="M36" s="46" t="str"/>
      <x:c r="N36" s="53" t="str"/>
      <x:c r="O36" s="53" t="str"/>
      <x:c r="P36" s="53" t="str"/>
      <x:c r="Q36" s="53" t="str">
        <x:f>IF(OR(N36="",O36="",P36=""),"",N36*O36*P36)</x:f>
      </x:c>
      <x:c r="R36" s="53" t="str">
        <x:f>IF(Q36="","",IF(Q36&gt;=50,"High",IF(Q36&gt;=20,"Medium","Low")))</x:f>
      </x:c>
      <x:c r="S36" s="53" t="str">
        <x:v>Open</x:v>
      </x:c>
      <x:c r="T36" s="45" t="str"/>
    </x:row>
    <x:row r="37">
      <x:c r="A37" s="53" t="n">
        <x:v>29</x:v>
      </x:c>
      <x:c r="B37" s="45" t="str"/>
      <x:c r="C37" s="45" t="str"/>
      <x:c r="D37" s="45" t="str"/>
      <x:c r="E37" s="45" t="str"/>
      <x:c r="F37" s="53" t="str"/>
      <x:c r="G37" s="53" t="str"/>
      <x:c r="H37" s="53" t="str"/>
      <x:c r="I37" s="53" t="str">
        <x:f>IF(OR(F37="",G37="",H37=""),"",F37*G37*H37)</x:f>
      </x:c>
      <x:c r="J37" s="53" t="str">
        <x:f>IF(I37="","",IF(I37&gt;=50,"High",IF(I37&gt;=20,"Medium","Low")))</x:f>
      </x:c>
      <x:c r="K37" s="45" t="str"/>
      <x:c r="L37" s="45" t="str"/>
      <x:c r="M37" s="46" t="str"/>
      <x:c r="N37" s="53" t="str"/>
      <x:c r="O37" s="53" t="str"/>
      <x:c r="P37" s="53" t="str"/>
      <x:c r="Q37" s="53" t="str">
        <x:f>IF(OR(N37="",O37="",P37=""),"",N37*O37*P37)</x:f>
      </x:c>
      <x:c r="R37" s="53" t="str">
        <x:f>IF(Q37="","",IF(Q37&gt;=50,"High",IF(Q37&gt;=20,"Medium","Low")))</x:f>
      </x:c>
      <x:c r="S37" s="53" t="str">
        <x:v>Open</x:v>
      </x:c>
      <x:c r="T37" s="45" t="str"/>
    </x:row>
    <x:row r="38">
      <x:c r="A38" s="53" t="n">
        <x:v>30</x:v>
      </x:c>
      <x:c r="B38" s="45" t="str"/>
      <x:c r="C38" s="45" t="str"/>
      <x:c r="D38" s="45" t="str"/>
      <x:c r="E38" s="45" t="str"/>
      <x:c r="F38" s="53" t="str"/>
      <x:c r="G38" s="53" t="str"/>
      <x:c r="H38" s="53" t="str"/>
      <x:c r="I38" s="53" t="str">
        <x:f>IF(OR(F38="",G38="",H38=""),"",F38*G38*H38)</x:f>
      </x:c>
      <x:c r="J38" s="53" t="str">
        <x:f>IF(I38="","",IF(I38&gt;=50,"High",IF(I38&gt;=20,"Medium","Low")))</x:f>
      </x:c>
      <x:c r="K38" s="45" t="str"/>
      <x:c r="L38" s="45" t="str"/>
      <x:c r="M38" s="46" t="str"/>
      <x:c r="N38" s="53" t="str"/>
      <x:c r="O38" s="53" t="str"/>
      <x:c r="P38" s="53" t="str"/>
      <x:c r="Q38" s="53" t="str">
        <x:f>IF(OR(N38="",O38="",P38=""),"",N38*O38*P38)</x:f>
      </x:c>
      <x:c r="R38" s="53" t="str">
        <x:f>IF(Q38="","",IF(Q38&gt;=50,"High",IF(Q38&gt;=20,"Medium","Low")))</x:f>
      </x:c>
      <x:c r="S38" s="53" t="str">
        <x:v>Open</x:v>
      </x:c>
      <x:c r="T38" s="45" t="str"/>
    </x:row>
    <x:row r="39">
      <x:c r="A39" s="53" t="n">
        <x:v>31</x:v>
      </x:c>
      <x:c r="B39" s="45" t="str"/>
      <x:c r="C39" s="45" t="str"/>
      <x:c r="D39" s="45" t="str"/>
      <x:c r="E39" s="45" t="str"/>
      <x:c r="F39" s="53" t="str"/>
      <x:c r="G39" s="53" t="str"/>
      <x:c r="H39" s="53" t="str"/>
      <x:c r="I39" s="53" t="str">
        <x:f>IF(OR(F39="",G39="",H39=""),"",F39*G39*H39)</x:f>
      </x:c>
      <x:c r="J39" s="53" t="str">
        <x:f>IF(I39="","",IF(I39&gt;=50,"High",IF(I39&gt;=20,"Medium","Low")))</x:f>
      </x:c>
      <x:c r="K39" s="45" t="str"/>
      <x:c r="L39" s="45" t="str"/>
      <x:c r="M39" s="46" t="str"/>
      <x:c r="N39" s="53" t="str"/>
      <x:c r="O39" s="53" t="str"/>
      <x:c r="P39" s="53" t="str"/>
      <x:c r="Q39" s="53" t="str">
        <x:f>IF(OR(N39="",O39="",P39=""),"",N39*O39*P39)</x:f>
      </x:c>
      <x:c r="R39" s="53" t="str">
        <x:f>IF(Q39="","",IF(Q39&gt;=50,"High",IF(Q39&gt;=20,"Medium","Low")))</x:f>
      </x:c>
      <x:c r="S39" s="53" t="str">
        <x:v>Open</x:v>
      </x:c>
      <x:c r="T39" s="45" t="str"/>
    </x:row>
    <x:row r="40">
      <x:c r="A40" s="53" t="n">
        <x:v>32</x:v>
      </x:c>
      <x:c r="B40" s="45" t="str"/>
      <x:c r="C40" s="45" t="str"/>
      <x:c r="D40" s="45" t="str"/>
      <x:c r="E40" s="45" t="str"/>
      <x:c r="F40" s="53" t="str"/>
      <x:c r="G40" s="53" t="str"/>
      <x:c r="H40" s="53" t="str"/>
      <x:c r="I40" s="53" t="str">
        <x:f>IF(OR(F40="",G40="",H40=""),"",F40*G40*H40)</x:f>
      </x:c>
      <x:c r="J40" s="53" t="str">
        <x:f>IF(I40="","",IF(I40&gt;=50,"High",IF(I40&gt;=20,"Medium","Low")))</x:f>
      </x:c>
      <x:c r="K40" s="45" t="str"/>
      <x:c r="L40" s="45" t="str"/>
      <x:c r="M40" s="46" t="str"/>
      <x:c r="N40" s="53" t="str"/>
      <x:c r="O40" s="53" t="str"/>
      <x:c r="P40" s="53" t="str"/>
      <x:c r="Q40" s="53" t="str">
        <x:f>IF(OR(N40="",O40="",P40=""),"",N40*O40*P40)</x:f>
      </x:c>
      <x:c r="R40" s="53" t="str">
        <x:f>IF(Q40="","",IF(Q40&gt;=50,"High",IF(Q40&gt;=20,"Medium","Low")))</x:f>
      </x:c>
      <x:c r="S40" s="53" t="str">
        <x:v>Open</x:v>
      </x:c>
      <x:c r="T40" s="45" t="str"/>
    </x:row>
    <x:row r="41">
      <x:c r="A41" s="53" t="n">
        <x:v>33</x:v>
      </x:c>
      <x:c r="B41" s="45" t="str"/>
      <x:c r="C41" s="45" t="str"/>
      <x:c r="D41" s="45" t="str"/>
      <x:c r="E41" s="45" t="str"/>
      <x:c r="F41" s="53" t="str"/>
      <x:c r="G41" s="53" t="str"/>
      <x:c r="H41" s="53" t="str"/>
      <x:c r="I41" s="53" t="str">
        <x:f>IF(OR(F41="",G41="",H41=""),"",F41*G41*H41)</x:f>
      </x:c>
      <x:c r="J41" s="53" t="str">
        <x:f>IF(I41="","",IF(I41&gt;=50,"High",IF(I41&gt;=20,"Medium","Low")))</x:f>
      </x:c>
      <x:c r="K41" s="45" t="str"/>
      <x:c r="L41" s="45" t="str"/>
      <x:c r="M41" s="46" t="str"/>
      <x:c r="N41" s="53" t="str"/>
      <x:c r="O41" s="53" t="str"/>
      <x:c r="P41" s="53" t="str"/>
      <x:c r="Q41" s="53" t="str">
        <x:f>IF(OR(N41="",O41="",P41=""),"",N41*O41*P41)</x:f>
      </x:c>
      <x:c r="R41" s="53" t="str">
        <x:f>IF(Q41="","",IF(Q41&gt;=50,"High",IF(Q41&gt;=20,"Medium","Low")))</x:f>
      </x:c>
      <x:c r="S41" s="53" t="str">
        <x:v>Open</x:v>
      </x:c>
      <x:c r="T41" s="45" t="str"/>
    </x:row>
    <x:row r="42">
      <x:c r="A42" s="53" t="n">
        <x:v>34</x:v>
      </x:c>
      <x:c r="B42" s="45" t="str"/>
      <x:c r="C42" s="45" t="str"/>
      <x:c r="D42" s="45" t="str"/>
      <x:c r="E42" s="45" t="str"/>
      <x:c r="F42" s="53" t="str"/>
      <x:c r="G42" s="53" t="str"/>
      <x:c r="H42" s="53" t="str"/>
      <x:c r="I42" s="53" t="str">
        <x:f>IF(OR(F42="",G42="",H42=""),"",F42*G42*H42)</x:f>
      </x:c>
      <x:c r="J42" s="53" t="str">
        <x:f>IF(I42="","",IF(I42&gt;=50,"High",IF(I42&gt;=20,"Medium","Low")))</x:f>
      </x:c>
      <x:c r="K42" s="45" t="str"/>
      <x:c r="L42" s="45" t="str"/>
      <x:c r="M42" s="46" t="str"/>
      <x:c r="N42" s="53" t="str"/>
      <x:c r="O42" s="53" t="str"/>
      <x:c r="P42" s="53" t="str"/>
      <x:c r="Q42" s="53" t="str">
        <x:f>IF(OR(N42="",O42="",P42=""),"",N42*O42*P42)</x:f>
      </x:c>
      <x:c r="R42" s="53" t="str">
        <x:f>IF(Q42="","",IF(Q42&gt;=50,"High",IF(Q42&gt;=20,"Medium","Low")))</x:f>
      </x:c>
      <x:c r="S42" s="53" t="str">
        <x:v>Open</x:v>
      </x:c>
      <x:c r="T42" s="45" t="str"/>
    </x:row>
    <x:row r="43">
      <x:c r="A43" s="53" t="n">
        <x:v>35</x:v>
      </x:c>
      <x:c r="B43" s="45" t="str"/>
      <x:c r="C43" s="45" t="str"/>
      <x:c r="D43" s="45" t="str"/>
      <x:c r="E43" s="45" t="str"/>
      <x:c r="F43" s="53" t="str"/>
      <x:c r="G43" s="53" t="str"/>
      <x:c r="H43" s="53" t="str"/>
      <x:c r="I43" s="53" t="str">
        <x:f>IF(OR(F43="",G43="",H43=""),"",F43*G43*H43)</x:f>
      </x:c>
      <x:c r="J43" s="53" t="str">
        <x:f>IF(I43="","",IF(I43&gt;=50,"High",IF(I43&gt;=20,"Medium","Low")))</x:f>
      </x:c>
      <x:c r="K43" s="45" t="str"/>
      <x:c r="L43" s="45" t="str"/>
      <x:c r="M43" s="46" t="str"/>
      <x:c r="N43" s="53" t="str"/>
      <x:c r="O43" s="53" t="str"/>
      <x:c r="P43" s="53" t="str"/>
      <x:c r="Q43" s="53" t="str">
        <x:f>IF(OR(N43="",O43="",P43=""),"",N43*O43*P43)</x:f>
      </x:c>
      <x:c r="R43" s="53" t="str">
        <x:f>IF(Q43="","",IF(Q43&gt;=50,"High",IF(Q43&gt;=20,"Medium","Low")))</x:f>
      </x:c>
      <x:c r="S43" s="53" t="str">
        <x:v>Open</x:v>
      </x:c>
      <x:c r="T43" s="45" t="str"/>
    </x:row>
    <x:row r="44">
      <x:c r="A44" s="53" t="n">
        <x:v>36</x:v>
      </x:c>
      <x:c r="B44" s="45" t="str"/>
      <x:c r="C44" s="45" t="str"/>
      <x:c r="D44" s="45" t="str"/>
      <x:c r="E44" s="45" t="str"/>
      <x:c r="F44" s="53" t="str"/>
      <x:c r="G44" s="53" t="str"/>
      <x:c r="H44" s="53" t="str"/>
      <x:c r="I44" s="53" t="str">
        <x:f>IF(OR(F44="",G44="",H44=""),"",F44*G44*H44)</x:f>
      </x:c>
      <x:c r="J44" s="53" t="str">
        <x:f>IF(I44="","",IF(I44&gt;=50,"High",IF(I44&gt;=20,"Medium","Low")))</x:f>
      </x:c>
      <x:c r="K44" s="45" t="str"/>
      <x:c r="L44" s="45" t="str"/>
      <x:c r="M44" s="46" t="str"/>
      <x:c r="N44" s="53" t="str"/>
      <x:c r="O44" s="53" t="str"/>
      <x:c r="P44" s="53" t="str"/>
      <x:c r="Q44" s="53" t="str">
        <x:f>IF(OR(N44="",O44="",P44=""),"",N44*O44*P44)</x:f>
      </x:c>
      <x:c r="R44" s="53" t="str">
        <x:f>IF(Q44="","",IF(Q44&gt;=50,"High",IF(Q44&gt;=20,"Medium","Low")))</x:f>
      </x:c>
      <x:c r="S44" s="53" t="str">
        <x:v>Open</x:v>
      </x:c>
      <x:c r="T44" s="45" t="str"/>
    </x:row>
    <x:row r="45">
      <x:c r="A45" s="53" t="n">
        <x:v>37</x:v>
      </x:c>
      <x:c r="B45" s="45" t="str"/>
      <x:c r="C45" s="45" t="str"/>
      <x:c r="D45" s="45" t="str"/>
      <x:c r="E45" s="45" t="str"/>
      <x:c r="F45" s="53" t="str"/>
      <x:c r="G45" s="53" t="str"/>
      <x:c r="H45" s="53" t="str"/>
      <x:c r="I45" s="53" t="str">
        <x:f>IF(OR(F45="",G45="",H45=""),"",F45*G45*H45)</x:f>
      </x:c>
      <x:c r="J45" s="53" t="str">
        <x:f>IF(I45="","",IF(I45&gt;=50,"High",IF(I45&gt;=20,"Medium","Low")))</x:f>
      </x:c>
      <x:c r="K45" s="45" t="str"/>
      <x:c r="L45" s="45" t="str"/>
      <x:c r="M45" s="46" t="str"/>
      <x:c r="N45" s="53" t="str"/>
      <x:c r="O45" s="53" t="str"/>
      <x:c r="P45" s="53" t="str"/>
      <x:c r="Q45" s="53" t="str">
        <x:f>IF(OR(N45="",O45="",P45=""),"",N45*O45*P45)</x:f>
      </x:c>
      <x:c r="R45" s="53" t="str">
        <x:f>IF(Q45="","",IF(Q45&gt;=50,"High",IF(Q45&gt;=20,"Medium","Low")))</x:f>
      </x:c>
      <x:c r="S45" s="53" t="str">
        <x:v>Open</x:v>
      </x:c>
      <x:c r="T45" s="45" t="str"/>
    </x:row>
    <x:row r="46">
      <x:c r="A46" s="53" t="n">
        <x:v>38</x:v>
      </x:c>
      <x:c r="B46" s="45" t="str"/>
      <x:c r="C46" s="45" t="str"/>
      <x:c r="D46" s="45" t="str"/>
      <x:c r="E46" s="45" t="str"/>
      <x:c r="F46" s="53" t="str"/>
      <x:c r="G46" s="53" t="str"/>
      <x:c r="H46" s="53" t="str"/>
      <x:c r="I46" s="53" t="str">
        <x:f>IF(OR(F46="",G46="",H46=""),"",F46*G46*H46)</x:f>
      </x:c>
      <x:c r="J46" s="53" t="str">
        <x:f>IF(I46="","",IF(I46&gt;=50,"High",IF(I46&gt;=20,"Medium","Low")))</x:f>
      </x:c>
      <x:c r="K46" s="45" t="str"/>
      <x:c r="L46" s="45" t="str"/>
      <x:c r="M46" s="46" t="str"/>
      <x:c r="N46" s="53" t="str"/>
      <x:c r="O46" s="53" t="str"/>
      <x:c r="P46" s="53" t="str"/>
      <x:c r="Q46" s="53" t="str">
        <x:f>IF(OR(N46="",O46="",P46=""),"",N46*O46*P46)</x:f>
      </x:c>
      <x:c r="R46" s="53" t="str">
        <x:f>IF(Q46="","",IF(Q46&gt;=50,"High",IF(Q46&gt;=20,"Medium","Low")))</x:f>
      </x:c>
      <x:c r="S46" s="53" t="str">
        <x:v>Open</x:v>
      </x:c>
      <x:c r="T46" s="45" t="str"/>
    </x:row>
    <x:row r="47">
      <x:c r="A47" s="53" t="n">
        <x:v>39</x:v>
      </x:c>
      <x:c r="B47" s="45" t="str"/>
      <x:c r="C47" s="45" t="str"/>
      <x:c r="D47" s="45" t="str"/>
      <x:c r="E47" s="45" t="str"/>
      <x:c r="F47" s="53" t="str"/>
      <x:c r="G47" s="53" t="str"/>
      <x:c r="H47" s="53" t="str"/>
      <x:c r="I47" s="53" t="str">
        <x:f>IF(OR(F47="",G47="",H47=""),"",F47*G47*H47)</x:f>
      </x:c>
      <x:c r="J47" s="53" t="str">
        <x:f>IF(I47="","",IF(I47&gt;=50,"High",IF(I47&gt;=20,"Medium","Low")))</x:f>
      </x:c>
      <x:c r="K47" s="45" t="str"/>
      <x:c r="L47" s="45" t="str"/>
      <x:c r="M47" s="46" t="str"/>
      <x:c r="N47" s="53" t="str"/>
      <x:c r="O47" s="53" t="str"/>
      <x:c r="P47" s="53" t="str"/>
      <x:c r="Q47" s="53" t="str">
        <x:f>IF(OR(N47="",O47="",P47=""),"",N47*O47*P47)</x:f>
      </x:c>
      <x:c r="R47" s="53" t="str">
        <x:f>IF(Q47="","",IF(Q47&gt;=50,"High",IF(Q47&gt;=20,"Medium","Low")))</x:f>
      </x:c>
      <x:c r="S47" s="53" t="str">
        <x:v>Open</x:v>
      </x:c>
      <x:c r="T47" s="45" t="str"/>
    </x:row>
    <x:row r="48">
      <x:c r="A48" s="53" t="n">
        <x:v>40</x:v>
      </x:c>
      <x:c r="B48" s="45" t="str"/>
      <x:c r="C48" s="45" t="str"/>
      <x:c r="D48" s="45" t="str"/>
      <x:c r="E48" s="45" t="str"/>
      <x:c r="F48" s="53" t="str"/>
      <x:c r="G48" s="53" t="str"/>
      <x:c r="H48" s="53" t="str"/>
      <x:c r="I48" s="53" t="str">
        <x:f>IF(OR(F48="",G48="",H48=""),"",F48*G48*H48)</x:f>
      </x:c>
      <x:c r="J48" s="53" t="str">
        <x:f>IF(I48="","",IF(I48&gt;=50,"High",IF(I48&gt;=20,"Medium","Low")))</x:f>
      </x:c>
      <x:c r="K48" s="45" t="str"/>
      <x:c r="L48" s="45" t="str"/>
      <x:c r="M48" s="46" t="str"/>
      <x:c r="N48" s="53" t="str"/>
      <x:c r="O48" s="53" t="str"/>
      <x:c r="P48" s="53" t="str"/>
      <x:c r="Q48" s="53" t="str">
        <x:f>IF(OR(N48="",O48="",P48=""),"",N48*O48*P48)</x:f>
      </x:c>
      <x:c r="R48" s="53" t="str">
        <x:f>IF(Q48="","",IF(Q48&gt;=50,"High",IF(Q48&gt;=20,"Medium","Low")))</x:f>
      </x:c>
      <x:c r="S48" s="53" t="str">
        <x:v>Open</x:v>
      </x:c>
      <x:c r="T48" s="45" t="str"/>
    </x:row>
    <x:row r="50" ht="22" customHeight="1">
      <x:c r="A50" s="57" t="str">
        <x:v>IMPORTANT USE NOTE  |  This worksheet is an educational and professional working aid, not regulatory advice or a site-approved controlled template. Adapt, verify and approve it through your own Pharmaceutical Quality System before use. © 2026 ValiStera Solutions. Redistribution, resale, rebranding or removal of ValiStera identification without written permission is prohibited.</x:v>
      </x:c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  <x:c r="M50" s="57"/>
      <x:c r="N50" s="57"/>
      <x:c r="O50" s="57"/>
      <x:c r="P50" s="57"/>
      <x:c r="Q50" s="57"/>
      <x:c r="R50" s="57"/>
      <x:c r="S50" s="57"/>
      <x:c r="T50" s="57"/>
    </x:row>
    <x:row r="51" ht="22" customHeight="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  <x:c r="M51" s="57"/>
      <x:c r="N51" s="57"/>
      <x:c r="O51" s="57"/>
      <x:c r="P51" s="57"/>
      <x:c r="Q51" s="57"/>
      <x:c r="R51" s="57"/>
      <x:c r="S51" s="57"/>
      <x:c r="T51" s="57"/>
    </x:row>
    <x:row r="52" ht="22" customHeight="1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  <x:c r="M52" s="57"/>
      <x:c r="N52" s="57"/>
      <x:c r="O52" s="57"/>
      <x:c r="P52" s="57"/>
      <x:c r="Q52" s="57"/>
      <x:c r="R52" s="57"/>
      <x:c r="S52" s="57"/>
      <x:c r="T52" s="57"/>
    </x:row>
    <x:row r="54">
      <x:c r="F54" s="96" t="str">
        <x:v>Vali</x:v>
      </x:c>
      <x:c r="G54" s="96"/>
      <x:c r="H54" s="96"/>
      <x:c r="I54" s="96"/>
      <x:c r="J54" s="96"/>
      <x:c r="K54" s="100" t="str">
        <x:v>Stera</x:v>
      </x:c>
      <x:c r="L54" s="100"/>
      <x:c r="M54" s="100"/>
      <x:c r="N54" s="100"/>
      <x:c r="O54" s="100"/>
    </x:row>
    <x:row r="55">
      <x:c r="F55" s="96"/>
      <x:c r="G55" s="96"/>
      <x:c r="H55" s="96"/>
      <x:c r="I55" s="96"/>
      <x:c r="J55" s="96"/>
      <x:c r="K55" s="100"/>
      <x:c r="L55" s="100"/>
      <x:c r="M55" s="100"/>
      <x:c r="N55" s="100"/>
      <x:c r="O55" s="100"/>
    </x:row>
    <x:row r="56">
      <x:c r="F56" s="96"/>
      <x:c r="G56" s="96"/>
      <x:c r="H56" s="96"/>
      <x:c r="I56" s="96"/>
      <x:c r="J56" s="96"/>
      <x:c r="K56" s="100"/>
      <x:c r="L56" s="100"/>
      <x:c r="M56" s="100"/>
      <x:c r="N56" s="100"/>
      <x:c r="O56" s="100"/>
    </x:row>
    <x:row r="57">
      <x:c r="F57" s="96"/>
      <x:c r="G57" s="96"/>
      <x:c r="H57" s="96"/>
      <x:c r="I57" s="96"/>
      <x:c r="J57" s="96"/>
      <x:c r="K57" s="100"/>
      <x:c r="L57" s="100"/>
      <x:c r="M57" s="100"/>
      <x:c r="N57" s="100"/>
      <x:c r="O57" s="100"/>
    </x:row>
    <x:row r="58">
      <x:c r="F58" s="96"/>
      <x:c r="G58" s="96"/>
      <x:c r="H58" s="96"/>
      <x:c r="I58" s="96"/>
      <x:c r="J58" s="96"/>
      <x:c r="K58" s="100"/>
      <x:c r="L58" s="100"/>
      <x:c r="M58" s="100"/>
      <x:c r="N58" s="100"/>
      <x:c r="O58" s="100"/>
    </x:row>
  </x:sheetData>
  <x:mergeCells>
    <x:mergeCell ref="A1:T1"/>
    <x:mergeCell ref="A2:T2"/>
    <x:mergeCell ref="H4:T5"/>
    <x:mergeCell ref="A50:T52"/>
    <x:mergeCell ref="F54:J58"/>
    <x:mergeCell ref="K54:O58"/>
  </x:mergeCells>
  <x:conditionalFormatting sqref="J9:J48">
    <x:cfRule type="expression" dxfId="0" priority="1">
      <x:formula>J9="High"</x:formula>
    </x:cfRule>
    <x:cfRule type="expression" dxfId="1" priority="2">
      <x:formula>J9="Medium"</x:formula>
    </x:cfRule>
    <x:cfRule type="expression" dxfId="2" priority="3">
      <x:formula>J9="Low"</x:formula>
    </x:cfRule>
  </x:conditionalFormatting>
  <x:conditionalFormatting sqref="R9:R48">
    <x:cfRule type="expression" dxfId="3" priority="4">
      <x:formula>R9="High"</x:formula>
    </x:cfRule>
    <x:cfRule type="expression" dxfId="4" priority="5">
      <x:formula>R9="Medium"</x:formula>
    </x:cfRule>
    <x:cfRule type="expression" dxfId="5" priority="6">
      <x:formula>R9="Low"</x:formula>
    </x:cfRule>
  </x:conditionalFormatting>
  <x:dataValidations count="7">
    <x:dataValidation type="list" sqref="F9:F48">
      <x:formula1>"1,2,3,4,5"</x:formula1>
    </x:dataValidation>
    <x:dataValidation type="list" sqref="G9:G48">
      <x:formula1>"1,2,3,4,5"</x:formula1>
    </x:dataValidation>
    <x:dataValidation type="list" sqref="H9:H48">
      <x:formula1>"1,2,3,4,5"</x:formula1>
    </x:dataValidation>
    <x:dataValidation type="list" sqref="N9:N48">
      <x:formula1>"1,2,3,4,5"</x:formula1>
    </x:dataValidation>
    <x:dataValidation type="list" sqref="O9:O48">
      <x:formula1>"1,2,3,4,5"</x:formula1>
    </x:dataValidation>
    <x:dataValidation type="list" sqref="P9:P48">
      <x:formula1>"1,2,3,4,5"</x:formula1>
    </x:dataValidation>
    <x:dataValidation type="list" sqref="S9:S48">
      <x:formula1>"Open,In Progress,Completed,Accepted"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20" hidden="0" customWidth="1"/>
    <x:col min="4" max="4" width="24" hidden="0" customWidth="1"/>
    <x:col min="5" max="5" width="34" hidden="0" customWidth="1"/>
    <x:col min="6" max="6" width="38" hidden="0" customWidth="1"/>
  </x:cols>
  <x:sheetData>
    <x:row r="1" ht="28" customHeight="1">
      <x:c r="A1" s="3" t="str">
        <x:v>ValiStera  |  Risk Scoring Guide</x:v>
      </x:c>
      <x:c r="B1" s="3"/>
      <x:c r="C1" s="3"/>
      <x:c r="D1" s="3"/>
      <x:c r="E1" s="3"/>
      <x:c r="F1" s="3"/>
    </x:row>
    <x:row r="3" ht="32" customHeight="1">
      <x:c r="A3" s="70" t="str">
        <x:v>Score</x:v>
      </x:c>
      <x:c r="B3" s="70" t="str">
        <x:v>Severity</x:v>
      </x:c>
      <x:c r="C3" s="70" t="str">
        <x:v>Occurrence</x:v>
      </x:c>
      <x:c r="D3" s="70" t="str">
        <x:v>Detectability</x:v>
      </x:c>
      <x:c r="E3" s="70" t="str">
        <x:v>Example Interpretation</x:v>
      </x:c>
      <x:c r="F3" s="70" t="str">
        <x:v>Guidance</x:v>
      </x:c>
    </x:row>
    <x:row r="4">
      <x:c r="A4" s="81" t="n">
        <x:v>1</x:v>
      </x:c>
      <x:c r="B4" s="77" t="str">
        <x:v>Negligible</x:v>
      </x:c>
      <x:c r="C4" s="77" t="str">
        <x:v>Rare</x:v>
      </x:c>
      <x:c r="D4" s="77" t="str">
        <x:v>Almost certain to detect</x:v>
      </x:c>
      <x:c r="E4" s="77" t="str">
        <x:v>Minimal quality / compliance impact</x:v>
      </x:c>
      <x:c r="F4" s="77" t="str">
        <x:v>Generally acceptable with routine controls</x:v>
      </x:c>
    </x:row>
    <x:row r="5">
      <x:c r="A5" s="81" t="n">
        <x:v>2</x:v>
      </x:c>
      <x:c r="B5" s="77" t="str">
        <x:v>Minor</x:v>
      </x:c>
      <x:c r="C5" s="77" t="str">
        <x:v>Unlikely</x:v>
      </x:c>
      <x:c r="D5" s="77" t="str">
        <x:v>High likelihood of detection</x:v>
      </x:c>
      <x:c r="E5" s="77" t="str">
        <x:v>Limited impact; readily recoverable</x:v>
      </x:c>
      <x:c r="F5" s="77" t="str">
        <x:v>Review controls and monitor</x:v>
      </x:c>
    </x:row>
    <x:row r="6">
      <x:c r="A6" s="81" t="n">
        <x:v>3</x:v>
      </x:c>
      <x:c r="B6" s="77" t="str">
        <x:v>Moderate</x:v>
      </x:c>
      <x:c r="C6" s="77" t="str">
        <x:v>Possible</x:v>
      </x:c>
      <x:c r="D6" s="77" t="str">
        <x:v>Moderate detectability</x:v>
      </x:c>
      <x:c r="E6" s="77" t="str">
        <x:v>Meaningful quality / compliance impact</x:v>
      </x:c>
      <x:c r="F6" s="77" t="str">
        <x:v>Risk reduction should be considered</x:v>
      </x:c>
    </x:row>
    <x:row r="7">
      <x:c r="A7" s="81" t="n">
        <x:v>4</x:v>
      </x:c>
      <x:c r="B7" s="77" t="str">
        <x:v>Major</x:v>
      </x:c>
      <x:c r="C7" s="77" t="str">
        <x:v>Likely</x:v>
      </x:c>
      <x:c r="D7" s="77" t="str">
        <x:v>Low detectability</x:v>
      </x:c>
      <x:c r="E7" s="77" t="str">
        <x:v>Significant impact or control weakness</x:v>
      </x:c>
      <x:c r="F7" s="77" t="str">
        <x:v>Mitigation normally required</x:v>
      </x:c>
    </x:row>
    <x:row r="8">
      <x:c r="A8" s="81" t="n">
        <x:v>5</x:v>
      </x:c>
      <x:c r="B8" s="77" t="str">
        <x:v>Critical</x:v>
      </x:c>
      <x:c r="C8" s="77" t="str">
        <x:v>Frequent / expected</x:v>
      </x:c>
      <x:c r="D8" s="77" t="str">
        <x:v>Very unlikely to detect</x:v>
      </x:c>
      <x:c r="E8" s="77" t="str">
        <x:v>Potential patient / product / critical compliance impact</x:v>
      </x:c>
      <x:c r="F8" s="77" t="str">
        <x:v>Immediate risk-reduction strategy and escalation</x:v>
      </x:c>
    </x:row>
    <x:row r="10">
      <x:c r="A10" s="84" t="str">
        <x:v>RPN Band</x:v>
      </x:c>
      <x:c r="B10" s="84" t="str">
        <x:v>Classification</x:v>
      </x:c>
      <x:c r="C10" s="84" t="str">
        <x:v>Default interpretation</x:v>
      </x:c>
    </x:row>
    <x:row r="11">
      <x:c r="A11" s="77" t="str">
        <x:v>1–19</x:v>
      </x:c>
      <x:c r="B11" s="77" t="str">
        <x:v>Low</x:v>
      </x:c>
      <x:c r="C11" s="77" t="str">
        <x:v>Generally acceptable with routine controls; confirm context.</x:v>
      </x:c>
    </x:row>
    <x:row r="12">
      <x:c r="A12" s="77" t="str">
        <x:v>20–49</x:v>
      </x:c>
      <x:c r="B12" s="77" t="str">
        <x:v>Medium</x:v>
      </x:c>
      <x:c r="C12" s="77" t="str">
        <x:v>Review risk-reduction options and strengthen controls where justified.</x:v>
      </x:c>
    </x:row>
    <x:row r="13">
      <x:c r="A13" s="77" t="str">
        <x:v>50–125</x:v>
      </x:c>
      <x:c r="B13" s="77" t="str">
        <x:v>High</x:v>
      </x:c>
      <x:c r="C13" s="77" t="str">
        <x:v>Priority mitigation, escalation and documented risk acceptance/closure required.</x:v>
      </x:c>
    </x:row>
    <x:row r="15">
      <x:c r="A15" s="26" t="str">
        <x:v>Important: the numerical bands in this workbook are a configurable internal working convention, not an ICH-mandated scoring scheme. Organizations should define and approve their own risk criteria, escalation rules and acceptance thresholds appropriate to the product, process, system and patient risk.</x:v>
      </x:c>
      <x:c r="B15" s="26"/>
      <x:c r="C15" s="26"/>
      <x:c r="D15" s="26"/>
      <x:c r="E15" s="26"/>
      <x:c r="F15" s="26"/>
    </x:row>
    <x:row r="16">
      <x:c r="A16" s="26"/>
      <x:c r="B16" s="26"/>
      <x:c r="C16" s="26"/>
      <x:c r="D16" s="26"/>
      <x:c r="E16" s="26"/>
      <x:c r="F16" s="26"/>
    </x:row>
    <x:row r="17">
      <x:c r="A17" s="26"/>
      <x:c r="B17" s="26"/>
      <x:c r="C17" s="26"/>
      <x:c r="D17" s="26"/>
      <x:c r="E17" s="26"/>
      <x:c r="F17" s="26"/>
    </x:row>
    <x:row r="18">
      <x:c r="A18" s="26"/>
      <x:c r="B18" s="26"/>
      <x:c r="C18" s="26"/>
      <x:c r="D18" s="26"/>
      <x:c r="E18" s="26"/>
      <x:c r="F18" s="26"/>
    </x:row>
    <x:row r="20">
      <x:c r="A20" s="88" t="str">
        <x:v>© 2026 ValiStera Solutions  |  Version 9.0  |  www.valistera.com  |  contact@valistera.com</x:v>
      </x:c>
      <x:c r="B20" s="88"/>
      <x:c r="C20" s="88"/>
      <x:c r="D20" s="88"/>
      <x:c r="E20" s="88"/>
      <x:c r="F20" s="88"/>
    </x:row>
    <x:row r="21">
      <x:c r="A21" s="88"/>
      <x:c r="B21" s="88"/>
      <x:c r="C21" s="88"/>
      <x:c r="D21" s="88"/>
      <x:c r="E21" s="88"/>
      <x:c r="F21" s="88"/>
    </x:row>
    <x:row r="22">
      <x:c r="A22" s="88"/>
      <x:c r="B22" s="88"/>
      <x:c r="C22" s="88"/>
      <x:c r="D22" s="88"/>
      <x:c r="E22" s="88"/>
      <x:c r="F22" s="88"/>
    </x:row>
  </x:sheetData>
  <x:mergeCells>
    <x:mergeCell ref="A1:F1"/>
    <x:mergeCell ref="A15:F18"/>
    <x:mergeCell ref="A20:F2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4" hidden="0" customWidth="1"/>
    <x:col min="3" max="3" width="7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28" customHeight="1">
      <x:c r="A1" s="3" t="str">
        <x:v>ValiStera  |  Quality Risk Assessment Worksheet — Instructions</x:v>
      </x:c>
      <x:c r="B1" s="3"/>
      <x:c r="C1" s="3"/>
      <x:c r="D1" s="3"/>
      <x:c r="E1" s="3"/>
      <x:c r="F1" s="3"/>
    </x:row>
    <x:row r="3">
      <x:c r="A3" s="91" t="str">
        <x:v>1</x:v>
      </x:c>
      <x:c r="B3" s="93" t="str">
        <x:v>Define the scope</x:v>
      </x:c>
      <x:c r="C3" s="77" t="str">
        <x:v>State the process, system, activity or change being assessed and its intended use / objective.</x:v>
      </x:c>
    </x:row>
    <x:row r="4">
      <x:c r="A4" s="91" t="str">
        <x:v>2</x:v>
      </x:c>
      <x:c r="B4" s="93" t="str">
        <x:v>Identify hazards</x:v>
      </x:c>
      <x:c r="C4" s="77" t="str">
        <x:v>Describe credible failure modes, hazards or undesirable situations and the potential consequences.</x:v>
      </x:c>
    </x:row>
    <x:row r="5">
      <x:c r="A5" s="91" t="str">
        <x:v>3</x:v>
      </x:c>
      <x:c r="B5" s="93" t="str">
        <x:v>Document existing controls</x:v>
      </x:c>
      <x:c r="C5" s="77" t="str">
        <x:v>Record preventive, detective and procedural controls that currently reduce risk.</x:v>
      </x:c>
    </x:row>
    <x:row r="6">
      <x:c r="A6" s="91" t="str">
        <x:v>4</x:v>
      </x:c>
      <x:c r="B6" s="93" t="str">
        <x:v>Score initial risk</x:v>
      </x:c>
      <x:c r="C6" s="77" t="str">
        <x:v>Use the approved site scoring model. In this workbook, Severity × Occurrence × Detectability generates an initial RPN.</x:v>
      </x:c>
    </x:row>
    <x:row r="7">
      <x:c r="A7" s="91" t="str">
        <x:v>5</x:v>
      </x:c>
      <x:c r="B7" s="93" t="str">
        <x:v>Evaluate risk</x:v>
      </x:c>
      <x:c r="C7" s="77" t="str">
        <x:v>Consider scientific knowledge, uncertainty, patient/product impact and the strength of available evidence.</x:v>
      </x:c>
    </x:row>
    <x:row r="8">
      <x:c r="A8" s="91" t="str">
        <x:v>6</x:v>
      </x:c>
      <x:c r="B8" s="93" t="str">
        <x:v>Define mitigation</x:v>
      </x:c>
      <x:c r="C8" s="77" t="str">
        <x:v>Specify risk-reduction actions, accountable owners and target dates.</x:v>
      </x:c>
    </x:row>
    <x:row r="9">
      <x:c r="A9" s="91" t="str">
        <x:v>7</x:v>
      </x:c>
      <x:c r="B9" s="93" t="str">
        <x:v>Assess residual risk</x:v>
      </x:c>
      <x:c r="C9" s="77" t="str">
        <x:v>Re-score after mitigation and document whether the residual risk is acceptable under the approved QMS.</x:v>
      </x:c>
    </x:row>
    <x:row r="10">
      <x:c r="A10" s="91" t="str">
        <x:v>8</x:v>
      </x:c>
      <x:c r="B10" s="93" t="str">
        <x:v>Review through lifecycle</x:v>
      </x:c>
      <x:c r="C10" s="77" t="str">
        <x:v>Revisit the assessment when new knowledge, deviations, trends, changes or periodic review indicate the risk may have changed.</x:v>
      </x:c>
    </x:row>
    <x:row r="12">
      <x:c r="A12" s="26" t="str">
        <x:v>Primary reference basis: ICH Q9(R1) Quality Risk Management. The worksheet is intentionally generic and must be adapted to the organization's approved QMS, risk methodology, product/process knowledge and applicable regulatory requirements.</x:v>
      </x:c>
      <x:c r="B12" s="26"/>
      <x:c r="C12" s="26"/>
      <x:c r="D12" s="26"/>
      <x:c r="E12" s="26"/>
      <x:c r="F12" s="26"/>
    </x:row>
    <x:row r="13">
      <x:c r="A13" s="26"/>
      <x:c r="B13" s="26"/>
      <x:c r="C13" s="26"/>
      <x:c r="D13" s="26"/>
      <x:c r="E13" s="26"/>
      <x:c r="F13" s="26"/>
    </x:row>
    <x:row r="14">
      <x:c r="A14" s="26"/>
      <x:c r="B14" s="26"/>
      <x:c r="C14" s="26"/>
      <x:c r="D14" s="26"/>
      <x:c r="E14" s="26"/>
      <x:c r="F14" s="26"/>
    </x:row>
    <x:row r="15">
      <x:c r="A15" s="26"/>
      <x:c r="B15" s="26"/>
      <x:c r="C15" s="26"/>
      <x:c r="D15" s="26"/>
      <x:c r="E15" s="26"/>
      <x:c r="F15" s="26"/>
    </x:row>
    <x:row r="17">
      <x:c r="A17" s="57" t="str">
        <x:v>COPYRIGHT &amp; USE  |  © 2026 ValiStera Solutions. This resource may be used internally as a professional working aid. Redistribution, resale, rebranding or removal of ValiStera identification without written permission is prohibited.</x:v>
      </x:c>
      <x:c r="B17" s="57"/>
      <x:c r="C17" s="57"/>
      <x:c r="D17" s="57"/>
      <x:c r="E17" s="57"/>
      <x:c r="F17" s="57"/>
    </x:row>
    <x:row r="18">
      <x:c r="A18" s="57"/>
      <x:c r="B18" s="57"/>
      <x:c r="C18" s="57"/>
      <x:c r="D18" s="57"/>
      <x:c r="E18" s="57"/>
      <x:c r="F18" s="57"/>
    </x:row>
    <x:row r="19">
      <x:c r="A19" s="57"/>
      <x:c r="B19" s="57"/>
      <x:c r="C19" s="57"/>
      <x:c r="D19" s="57"/>
      <x:c r="E19" s="57"/>
      <x:c r="F19" s="57"/>
    </x:row>
    <x:row r="20">
      <x:c r="A20" s="57"/>
      <x:c r="B20" s="57"/>
      <x:c r="C20" s="57"/>
      <x:c r="D20" s="57"/>
      <x:c r="E20" s="57"/>
      <x:c r="F20" s="57"/>
    </x:row>
  </x:sheetData>
  <x:mergeCells>
    <x:mergeCell ref="A1:F1"/>
    <x:mergeCell ref="A12:F15"/>
    <x:mergeCell ref="A17:F20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4" hidden="0" customWidth="1"/>
    <x:col min="3" max="3" width="4" hidden="0" customWidth="1"/>
    <x:col min="4" max="4" width="24" hidden="0" customWidth="1"/>
    <x:col min="5" max="5" width="14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3" t="str">
        <x:v>ValiStera  |  Quality Risk Assessment Summary</x:v>
      </x:c>
      <x:c r="B1" s="3"/>
      <x:c r="C1" s="3"/>
      <x:c r="D1" s="3"/>
      <x:c r="E1" s="3"/>
      <x:c r="F1" s="3"/>
      <x:c r="G1" s="3"/>
      <x:c r="H1" s="3"/>
    </x:row>
    <x:row r="3">
      <x:c r="A3" s="104" t="str">
        <x:v>Metric</x:v>
      </x:c>
      <x:c r="B3" s="104" t="str">
        <x:v>Value</x:v>
      </x:c>
      <x:c r="D3" s="104" t="str">
        <x:v>Residual Risk</x:v>
      </x:c>
      <x:c r="E3" s="104" t="str">
        <x:v>Count</x:v>
      </x:c>
    </x:row>
    <x:row r="4">
      <x:c r="A4" s="107" t="str">
        <x:v>Total assessed risks</x:v>
      </x:c>
      <x:c r="B4" s="109" t="n">
        <x:f>COUNTIF('Risk Assessment'!B9:B48,"&lt;&gt;")</x:f>
        <x:v>40</x:v>
      </x:c>
      <x:c r="D4" s="107" t="str">
        <x:v>High</x:v>
      </x:c>
      <x:c r="E4" s="109" t="n">
        <x:f>COUNTIF('Risk Assessment'!R9:R48,"High")</x:f>
        <x:v>0</x:v>
      </x:c>
    </x:row>
    <x:row r="5">
      <x:c r="A5" s="107" t="str">
        <x:v>Initial High risks</x:v>
      </x:c>
      <x:c r="B5" s="109" t="n">
        <x:f>COUNTIF('Risk Assessment'!J9:J48,"High")</x:f>
        <x:v>0</x:v>
      </x:c>
      <x:c r="D5" s="107" t="str">
        <x:v>Medium</x:v>
      </x:c>
      <x:c r="E5" s="109" t="n">
        <x:f>COUNTIF('Risk Assessment'!R9:R48,"Medium")</x:f>
        <x:v>0</x:v>
      </x:c>
    </x:row>
    <x:row r="6">
      <x:c r="A6" s="107" t="str">
        <x:v>Initial Medium risks</x:v>
      </x:c>
      <x:c r="B6" s="109" t="n">
        <x:f>COUNTIF('Risk Assessment'!J9:J48,"Medium")</x:f>
        <x:v>0</x:v>
      </x:c>
      <x:c r="D6" s="107" t="str">
        <x:v>Low</x:v>
      </x:c>
      <x:c r="E6" s="109" t="n">
        <x:f>COUNTIF('Risk Assessment'!R9:R48,"Low")</x:f>
        <x:v>0</x:v>
      </x:c>
    </x:row>
    <x:row r="7">
      <x:c r="A7" s="107" t="str">
        <x:v>Initial Low risks</x:v>
      </x:c>
      <x:c r="B7" s="109" t="n">
        <x:f>COUNTIF('Risk Assessment'!J9:J48,"Low")</x:f>
        <x:v>0</x:v>
      </x:c>
      <x:c r="D7" s="107" t="str">
        <x:v>Closed / Accepted</x:v>
      </x:c>
      <x:c r="E7" s="109" t="n">
        <x:f>COUNTIF('Risk Assessment'!S9:S48,"Accepted")+COUNTIF('Risk Assessment'!S9:S48,"Completed")</x:f>
        <x:v>0</x:v>
      </x:c>
    </x:row>
    <x:row r="27">
      <x:c r="A27" s="112" t="str">
        <x:v>Version 9.0  |  Issue date: October 2026  |  © 2026 ValiStera Solutions  |  Redistribution, resale, rebranding or removal of ValiStera identification without written permission is prohibited.</x:v>
      </x:c>
      <x:c r="B27" s="112"/>
      <x:c r="C27" s="112"/>
      <x:c r="D27" s="112"/>
      <x:c r="E27" s="112"/>
      <x:c r="F27" s="112"/>
      <x:c r="G27" s="112"/>
      <x:c r="H27" s="112"/>
    </x:row>
    <x:row r="28">
      <x:c r="A28" s="112"/>
      <x:c r="B28" s="112"/>
      <x:c r="C28" s="112"/>
      <x:c r="D28" s="112"/>
      <x:c r="E28" s="112"/>
      <x:c r="F28" s="112"/>
      <x:c r="G28" s="112"/>
      <x:c r="H28" s="112"/>
    </x:row>
    <x:row r="29">
      <x:c r="A29" s="112"/>
      <x:c r="B29" s="112"/>
      <x:c r="C29" s="112"/>
      <x:c r="D29" s="112"/>
      <x:c r="E29" s="112"/>
      <x:c r="F29" s="112"/>
      <x:c r="G29" s="112"/>
      <x:c r="H29" s="112"/>
    </x:row>
  </x:sheetData>
  <x:mergeCells>
    <x:mergeCell ref="A1:H1"/>
    <x:mergeCell ref="A27:H29"/>
  </x:mergeCells>
  <x:pageMargins left="0.7" right="0.7" top="0.75" bottom="0.75" header="0.3" footer="0.3"/>
  <x:drawing xmlns:r="http://schemas.openxmlformats.org/officeDocument/2006/relationships" r:id="Ra9aac4c0b7fe4f33"/>
</x:worksheet>
</file>